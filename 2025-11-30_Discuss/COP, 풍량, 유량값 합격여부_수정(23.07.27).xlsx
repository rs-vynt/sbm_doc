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지금부터 BM업무\BM\고도화개발\"/>
    </mc:Choice>
  </mc:AlternateContent>
  <xr:revisionPtr revIDLastSave="0" documentId="13_ncr:1_{19BDE5F7-575A-42A5-BC2A-5444AB7457C9}" xr6:coauthVersionLast="47" xr6:coauthVersionMax="47" xr10:uidLastSave="{00000000-0000-0000-0000-000000000000}"/>
  <bookViews>
    <workbookView xWindow="0" yWindow="0" windowWidth="25600" windowHeight="15370" firstSheet="1" activeTab="3" xr2:uid="{93050A3A-64D8-4415-A7CD-660D115ECB4F}"/>
  </bookViews>
  <sheets>
    <sheet name="보일러" sheetId="8" state="hidden" r:id="rId1"/>
    <sheet name="냉동기COP 합격여부" sheetId="7" r:id="rId2"/>
    <sheet name="송풍기 풍량값 합격여부" sheetId="5" r:id="rId3"/>
    <sheet name="펌프 유량값 합격여부" sheetId="4" r:id="rId4"/>
    <sheet name="송풍기 풍량값 추정" sheetId="11" r:id="rId5"/>
    <sheet name="펌프 유량값 추정" sheetId="12" r:id="rId6"/>
    <sheet name="배관수명" sheetId="2" r:id="rId7"/>
    <sheet name="배관경표" sheetId="6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4" i="12" l="1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5" i="12"/>
  <c r="L24" i="12"/>
  <c r="L5" i="12"/>
  <c r="K6" i="4"/>
  <c r="N6" i="4" s="1"/>
  <c r="J76" i="11"/>
  <c r="J80" i="11"/>
  <c r="J84" i="11"/>
  <c r="J88" i="11"/>
  <c r="J91" i="11"/>
  <c r="J92" i="11"/>
  <c r="J95" i="11"/>
  <c r="J96" i="11"/>
  <c r="J99" i="11"/>
  <c r="J100" i="11"/>
  <c r="J103" i="11"/>
  <c r="J104" i="11"/>
  <c r="J107" i="11"/>
  <c r="J108" i="11"/>
  <c r="J111" i="11"/>
  <c r="J112" i="11"/>
  <c r="J115" i="11"/>
  <c r="J116" i="11"/>
  <c r="J119" i="11"/>
  <c r="J120" i="11"/>
  <c r="J123" i="11"/>
  <c r="J124" i="11"/>
  <c r="J127" i="11"/>
  <c r="J128" i="11"/>
  <c r="J132" i="11"/>
  <c r="J135" i="11"/>
  <c r="J136" i="11"/>
  <c r="J139" i="11"/>
  <c r="J140" i="11"/>
  <c r="J143" i="11"/>
  <c r="J150" i="11"/>
  <c r="J154" i="11"/>
  <c r="J158" i="11"/>
  <c r="J161" i="11"/>
  <c r="J166" i="11"/>
  <c r="J170" i="11"/>
  <c r="J174" i="11"/>
  <c r="J178" i="11"/>
  <c r="J182" i="11"/>
  <c r="J186" i="11"/>
  <c r="J190" i="11"/>
  <c r="J193" i="11"/>
  <c r="J198" i="11"/>
  <c r="J202" i="11"/>
  <c r="J206" i="11"/>
  <c r="J210" i="11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31" i="4"/>
  <c r="N5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31" i="4"/>
  <c r="H6" i="4"/>
  <c r="H5" i="4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74" i="5"/>
  <c r="H5" i="5"/>
  <c r="K43" i="7"/>
  <c r="K42" i="7"/>
  <c r="L38" i="7"/>
  <c r="K38" i="7"/>
  <c r="G5" i="12"/>
  <c r="F213" i="12"/>
  <c r="G213" i="12" s="1"/>
  <c r="K213" i="12" s="1"/>
  <c r="F212" i="12"/>
  <c r="G212" i="12" s="1"/>
  <c r="K212" i="12" s="1"/>
  <c r="F211" i="12"/>
  <c r="G211" i="12" s="1"/>
  <c r="J211" i="12" s="1"/>
  <c r="F210" i="12"/>
  <c r="G210" i="12" s="1"/>
  <c r="G209" i="12"/>
  <c r="F209" i="12"/>
  <c r="F208" i="12"/>
  <c r="G208" i="12" s="1"/>
  <c r="K207" i="12"/>
  <c r="F207" i="12"/>
  <c r="G207" i="12" s="1"/>
  <c r="J207" i="12" s="1"/>
  <c r="F206" i="12"/>
  <c r="G206" i="12" s="1"/>
  <c r="G205" i="12"/>
  <c r="K205" i="12" s="1"/>
  <c r="F205" i="12"/>
  <c r="F204" i="12"/>
  <c r="G204" i="12" s="1"/>
  <c r="K204" i="12" s="1"/>
  <c r="F203" i="12"/>
  <c r="G203" i="12" s="1"/>
  <c r="J203" i="12" s="1"/>
  <c r="G202" i="12"/>
  <c r="F202" i="12"/>
  <c r="F201" i="12"/>
  <c r="G201" i="12" s="1"/>
  <c r="F200" i="12"/>
  <c r="G200" i="12" s="1"/>
  <c r="K200" i="12" s="1"/>
  <c r="K199" i="12"/>
  <c r="F199" i="12"/>
  <c r="G199" i="12" s="1"/>
  <c r="J199" i="12" s="1"/>
  <c r="F198" i="12"/>
  <c r="G198" i="12" s="1"/>
  <c r="F197" i="12"/>
  <c r="G197" i="12" s="1"/>
  <c r="K197" i="12" s="1"/>
  <c r="F196" i="12"/>
  <c r="G196" i="12" s="1"/>
  <c r="K196" i="12" s="1"/>
  <c r="F195" i="12"/>
  <c r="G195" i="12" s="1"/>
  <c r="J195" i="12" s="1"/>
  <c r="F194" i="12"/>
  <c r="G194" i="12" s="1"/>
  <c r="F193" i="12"/>
  <c r="G193" i="12" s="1"/>
  <c r="K192" i="12"/>
  <c r="J192" i="12"/>
  <c r="F192" i="12"/>
  <c r="G192" i="12" s="1"/>
  <c r="F191" i="12"/>
  <c r="G191" i="12" s="1"/>
  <c r="F190" i="12"/>
  <c r="G190" i="12" s="1"/>
  <c r="F189" i="12"/>
  <c r="G189" i="12" s="1"/>
  <c r="K189" i="12" s="1"/>
  <c r="F188" i="12"/>
  <c r="G188" i="12" s="1"/>
  <c r="K188" i="12" s="1"/>
  <c r="F187" i="12"/>
  <c r="G187" i="12" s="1"/>
  <c r="J187" i="12" s="1"/>
  <c r="F186" i="12"/>
  <c r="G186" i="12" s="1"/>
  <c r="J185" i="12"/>
  <c r="G185" i="12"/>
  <c r="K185" i="12" s="1"/>
  <c r="F185" i="12"/>
  <c r="K184" i="12"/>
  <c r="J184" i="12"/>
  <c r="F184" i="12"/>
  <c r="G184" i="12" s="1"/>
  <c r="F183" i="12"/>
  <c r="G183" i="12" s="1"/>
  <c r="J183" i="12" s="1"/>
  <c r="F182" i="12"/>
  <c r="G182" i="12" s="1"/>
  <c r="G181" i="12"/>
  <c r="K181" i="12" s="1"/>
  <c r="F181" i="12"/>
  <c r="F180" i="12"/>
  <c r="G180" i="12" s="1"/>
  <c r="K180" i="12" s="1"/>
  <c r="F179" i="12"/>
  <c r="G179" i="12" s="1"/>
  <c r="J179" i="12" s="1"/>
  <c r="G178" i="12"/>
  <c r="F178" i="12"/>
  <c r="G177" i="12"/>
  <c r="F177" i="12"/>
  <c r="F176" i="12"/>
  <c r="G176" i="12" s="1"/>
  <c r="K175" i="12"/>
  <c r="F175" i="12"/>
  <c r="G175" i="12" s="1"/>
  <c r="J175" i="12" s="1"/>
  <c r="F174" i="12"/>
  <c r="G174" i="12" s="1"/>
  <c r="G173" i="12"/>
  <c r="K173" i="12" s="1"/>
  <c r="F173" i="12"/>
  <c r="G172" i="12"/>
  <c r="F172" i="12"/>
  <c r="F171" i="12"/>
  <c r="G171" i="12" s="1"/>
  <c r="J171" i="12" s="1"/>
  <c r="F170" i="12"/>
  <c r="G170" i="12" s="1"/>
  <c r="J169" i="12"/>
  <c r="F169" i="12"/>
  <c r="G169" i="12" s="1"/>
  <c r="K169" i="12" s="1"/>
  <c r="F168" i="12"/>
  <c r="G168" i="12" s="1"/>
  <c r="K168" i="12" s="1"/>
  <c r="F167" i="12"/>
  <c r="G167" i="12" s="1"/>
  <c r="J167" i="12" s="1"/>
  <c r="G166" i="12"/>
  <c r="F166" i="12"/>
  <c r="F165" i="12"/>
  <c r="G165" i="12" s="1"/>
  <c r="F164" i="12"/>
  <c r="G164" i="12" s="1"/>
  <c r="K163" i="12"/>
  <c r="F163" i="12"/>
  <c r="G163" i="12" s="1"/>
  <c r="J163" i="12" s="1"/>
  <c r="F162" i="12"/>
  <c r="G162" i="12" s="1"/>
  <c r="G161" i="12"/>
  <c r="K161" i="12" s="1"/>
  <c r="F161" i="12"/>
  <c r="G160" i="12"/>
  <c r="K160" i="12" s="1"/>
  <c r="F160" i="12"/>
  <c r="F159" i="12"/>
  <c r="G159" i="12" s="1"/>
  <c r="F158" i="12"/>
  <c r="G158" i="12" s="1"/>
  <c r="F157" i="12"/>
  <c r="G157" i="12" s="1"/>
  <c r="K157" i="12" s="1"/>
  <c r="K156" i="12"/>
  <c r="F156" i="12"/>
  <c r="G156" i="12" s="1"/>
  <c r="J156" i="12" s="1"/>
  <c r="F155" i="12"/>
  <c r="G155" i="12" s="1"/>
  <c r="J155" i="12" s="1"/>
  <c r="F154" i="12"/>
  <c r="G154" i="12" s="1"/>
  <c r="F153" i="12"/>
  <c r="G153" i="12" s="1"/>
  <c r="F152" i="12"/>
  <c r="G152" i="12" s="1"/>
  <c r="J152" i="12" s="1"/>
  <c r="F151" i="12"/>
  <c r="G151" i="12" s="1"/>
  <c r="J151" i="12" s="1"/>
  <c r="F150" i="12"/>
  <c r="G150" i="12" s="1"/>
  <c r="G149" i="12"/>
  <c r="K149" i="12" s="1"/>
  <c r="F149" i="12"/>
  <c r="G148" i="12"/>
  <c r="K148" i="12" s="1"/>
  <c r="F148" i="12"/>
  <c r="F147" i="12"/>
  <c r="G147" i="12" s="1"/>
  <c r="G146" i="12"/>
  <c r="F146" i="12"/>
  <c r="F145" i="12"/>
  <c r="G145" i="12" s="1"/>
  <c r="K145" i="12" s="1"/>
  <c r="K144" i="12"/>
  <c r="F144" i="12"/>
  <c r="G144" i="12" s="1"/>
  <c r="J144" i="12" s="1"/>
  <c r="K143" i="12"/>
  <c r="F143" i="12"/>
  <c r="G143" i="12" s="1"/>
  <c r="J143" i="12" s="1"/>
  <c r="F142" i="12"/>
  <c r="G142" i="12" s="1"/>
  <c r="F141" i="12"/>
  <c r="G141" i="12" s="1"/>
  <c r="K141" i="12" s="1"/>
  <c r="F140" i="12"/>
  <c r="G140" i="12" s="1"/>
  <c r="F139" i="12"/>
  <c r="G139" i="12" s="1"/>
  <c r="J139" i="12" s="1"/>
  <c r="F138" i="12"/>
  <c r="G138" i="12" s="1"/>
  <c r="G137" i="12"/>
  <c r="K137" i="12" s="1"/>
  <c r="F137" i="12"/>
  <c r="G136" i="12"/>
  <c r="K136" i="12" s="1"/>
  <c r="F136" i="12"/>
  <c r="F135" i="12"/>
  <c r="G135" i="12" s="1"/>
  <c r="J135" i="12" s="1"/>
  <c r="F134" i="12"/>
  <c r="G134" i="12" s="1"/>
  <c r="F133" i="12"/>
  <c r="G133" i="12" s="1"/>
  <c r="F132" i="12"/>
  <c r="G132" i="12" s="1"/>
  <c r="J132" i="12" s="1"/>
  <c r="K131" i="12"/>
  <c r="F131" i="12"/>
  <c r="G131" i="12" s="1"/>
  <c r="J131" i="12" s="1"/>
  <c r="F130" i="12"/>
  <c r="G130" i="12" s="1"/>
  <c r="G129" i="12"/>
  <c r="K129" i="12" s="1"/>
  <c r="F129" i="12"/>
  <c r="J128" i="12"/>
  <c r="G128" i="12"/>
  <c r="K128" i="12" s="1"/>
  <c r="F128" i="12"/>
  <c r="F127" i="12"/>
  <c r="G127" i="12" s="1"/>
  <c r="F126" i="12"/>
  <c r="G126" i="12" s="1"/>
  <c r="F125" i="12"/>
  <c r="G125" i="12" s="1"/>
  <c r="K125" i="12" s="1"/>
  <c r="F124" i="12"/>
  <c r="G124" i="12" s="1"/>
  <c r="K124" i="12" s="1"/>
  <c r="F123" i="12"/>
  <c r="G123" i="12" s="1"/>
  <c r="J123" i="12" s="1"/>
  <c r="F122" i="12"/>
  <c r="G122" i="12" s="1"/>
  <c r="F121" i="12"/>
  <c r="G121" i="12" s="1"/>
  <c r="K120" i="12"/>
  <c r="F120" i="12"/>
  <c r="G120" i="12" s="1"/>
  <c r="J120" i="12" s="1"/>
  <c r="F119" i="12"/>
  <c r="G119" i="12" s="1"/>
  <c r="J119" i="12" s="1"/>
  <c r="F118" i="12"/>
  <c r="G118" i="12" s="1"/>
  <c r="J117" i="12"/>
  <c r="G117" i="12"/>
  <c r="K117" i="12" s="1"/>
  <c r="F117" i="12"/>
  <c r="G116" i="12"/>
  <c r="K116" i="12" s="1"/>
  <c r="F116" i="12"/>
  <c r="F115" i="12"/>
  <c r="G115" i="12" s="1"/>
  <c r="G114" i="12"/>
  <c r="F114" i="12"/>
  <c r="F113" i="12"/>
  <c r="G113" i="12" s="1"/>
  <c r="K113" i="12" s="1"/>
  <c r="G112" i="12"/>
  <c r="J112" i="12" s="1"/>
  <c r="F112" i="12"/>
  <c r="K111" i="12"/>
  <c r="F111" i="12"/>
  <c r="G111" i="12" s="1"/>
  <c r="J111" i="12" s="1"/>
  <c r="F110" i="12"/>
  <c r="G110" i="12" s="1"/>
  <c r="F109" i="12"/>
  <c r="G109" i="12" s="1"/>
  <c r="K109" i="12" s="1"/>
  <c r="G108" i="12"/>
  <c r="K108" i="12" s="1"/>
  <c r="F108" i="12"/>
  <c r="F107" i="12"/>
  <c r="G107" i="12" s="1"/>
  <c r="K107" i="12" s="1"/>
  <c r="G106" i="12"/>
  <c r="J106" i="12" s="1"/>
  <c r="F106" i="12"/>
  <c r="F105" i="12"/>
  <c r="G105" i="12" s="1"/>
  <c r="K105" i="12" s="1"/>
  <c r="F104" i="12"/>
  <c r="G104" i="12" s="1"/>
  <c r="F103" i="12"/>
  <c r="G103" i="12" s="1"/>
  <c r="J103" i="12" s="1"/>
  <c r="G102" i="12"/>
  <c r="J102" i="12" s="1"/>
  <c r="F102" i="12"/>
  <c r="F101" i="12"/>
  <c r="G101" i="12" s="1"/>
  <c r="F100" i="12"/>
  <c r="G100" i="12" s="1"/>
  <c r="F99" i="12"/>
  <c r="G99" i="12" s="1"/>
  <c r="F98" i="12"/>
  <c r="G98" i="12" s="1"/>
  <c r="K98" i="12" s="1"/>
  <c r="G97" i="12"/>
  <c r="K97" i="12" s="1"/>
  <c r="F97" i="12"/>
  <c r="F96" i="12"/>
  <c r="G96" i="12" s="1"/>
  <c r="F95" i="12"/>
  <c r="G95" i="12" s="1"/>
  <c r="G94" i="12"/>
  <c r="J94" i="12" s="1"/>
  <c r="F94" i="12"/>
  <c r="F93" i="12"/>
  <c r="G93" i="12" s="1"/>
  <c r="F92" i="12"/>
  <c r="G92" i="12" s="1"/>
  <c r="F91" i="12"/>
  <c r="G91" i="12" s="1"/>
  <c r="F90" i="12"/>
  <c r="G90" i="12" s="1"/>
  <c r="K90" i="12" s="1"/>
  <c r="F89" i="12"/>
  <c r="G89" i="12" s="1"/>
  <c r="F88" i="12"/>
  <c r="G88" i="12" s="1"/>
  <c r="F87" i="12"/>
  <c r="G87" i="12" s="1"/>
  <c r="F86" i="12"/>
  <c r="G86" i="12" s="1"/>
  <c r="J86" i="12" s="1"/>
  <c r="F85" i="12"/>
  <c r="G85" i="12" s="1"/>
  <c r="F84" i="12"/>
  <c r="G84" i="12" s="1"/>
  <c r="F83" i="12"/>
  <c r="G83" i="12" s="1"/>
  <c r="F82" i="12"/>
  <c r="G82" i="12" s="1"/>
  <c r="K82" i="12" s="1"/>
  <c r="G81" i="12"/>
  <c r="K81" i="12" s="1"/>
  <c r="F81" i="12"/>
  <c r="F80" i="12"/>
  <c r="G80" i="12" s="1"/>
  <c r="F79" i="12"/>
  <c r="G79" i="12" s="1"/>
  <c r="G78" i="12"/>
  <c r="K78" i="12" s="1"/>
  <c r="F78" i="12"/>
  <c r="F77" i="12"/>
  <c r="G77" i="12" s="1"/>
  <c r="F76" i="12"/>
  <c r="G76" i="12" s="1"/>
  <c r="F75" i="12"/>
  <c r="G75" i="12" s="1"/>
  <c r="F74" i="12"/>
  <c r="G74" i="12" s="1"/>
  <c r="K74" i="12" s="1"/>
  <c r="F73" i="12"/>
  <c r="G73" i="12" s="1"/>
  <c r="F72" i="12"/>
  <c r="G72" i="12" s="1"/>
  <c r="F71" i="12"/>
  <c r="G71" i="12" s="1"/>
  <c r="F70" i="12"/>
  <c r="G70" i="12" s="1"/>
  <c r="J70" i="12" s="1"/>
  <c r="F69" i="12"/>
  <c r="G69" i="12" s="1"/>
  <c r="F68" i="12"/>
  <c r="G68" i="12" s="1"/>
  <c r="F67" i="12"/>
  <c r="G67" i="12" s="1"/>
  <c r="F66" i="12"/>
  <c r="G66" i="12" s="1"/>
  <c r="J66" i="12" s="1"/>
  <c r="G65" i="12"/>
  <c r="K65" i="12" s="1"/>
  <c r="F65" i="12"/>
  <c r="F64" i="12"/>
  <c r="G64" i="12" s="1"/>
  <c r="F63" i="12"/>
  <c r="G63" i="12" s="1"/>
  <c r="G62" i="12"/>
  <c r="J62" i="12" s="1"/>
  <c r="F62" i="12"/>
  <c r="F61" i="12"/>
  <c r="G61" i="12" s="1"/>
  <c r="F60" i="12"/>
  <c r="G60" i="12" s="1"/>
  <c r="F59" i="12"/>
  <c r="G59" i="12" s="1"/>
  <c r="F58" i="12"/>
  <c r="G58" i="12" s="1"/>
  <c r="J58" i="12" s="1"/>
  <c r="F57" i="12"/>
  <c r="G57" i="12" s="1"/>
  <c r="F56" i="12"/>
  <c r="G56" i="12" s="1"/>
  <c r="F55" i="12"/>
  <c r="G55" i="12" s="1"/>
  <c r="F54" i="12"/>
  <c r="G54" i="12" s="1"/>
  <c r="K54" i="12" s="1"/>
  <c r="F53" i="12"/>
  <c r="G53" i="12" s="1"/>
  <c r="F52" i="12"/>
  <c r="G52" i="12" s="1"/>
  <c r="F51" i="12"/>
  <c r="G51" i="12" s="1"/>
  <c r="F50" i="12"/>
  <c r="G50" i="12" s="1"/>
  <c r="K50" i="12" s="1"/>
  <c r="G49" i="12"/>
  <c r="K49" i="12" s="1"/>
  <c r="F49" i="12"/>
  <c r="F48" i="12"/>
  <c r="G48" i="12" s="1"/>
  <c r="F47" i="12"/>
  <c r="G47" i="12" s="1"/>
  <c r="G46" i="12"/>
  <c r="K46" i="12" s="1"/>
  <c r="F46" i="12"/>
  <c r="F45" i="12"/>
  <c r="G45" i="12" s="1"/>
  <c r="F44" i="12"/>
  <c r="G44" i="12" s="1"/>
  <c r="F43" i="12"/>
  <c r="G43" i="12" s="1"/>
  <c r="F42" i="12"/>
  <c r="G42" i="12" s="1"/>
  <c r="K42" i="12" s="1"/>
  <c r="F41" i="12"/>
  <c r="G41" i="12" s="1"/>
  <c r="F40" i="12"/>
  <c r="G40" i="12" s="1"/>
  <c r="F39" i="12"/>
  <c r="G39" i="12" s="1"/>
  <c r="F38" i="12"/>
  <c r="G38" i="12" s="1"/>
  <c r="J38" i="12" s="1"/>
  <c r="F37" i="12"/>
  <c r="G37" i="12" s="1"/>
  <c r="F36" i="12"/>
  <c r="G36" i="12" s="1"/>
  <c r="F35" i="12"/>
  <c r="G35" i="12" s="1"/>
  <c r="F34" i="12"/>
  <c r="G34" i="12" s="1"/>
  <c r="J34" i="12" s="1"/>
  <c r="G33" i="12"/>
  <c r="K33" i="12" s="1"/>
  <c r="F33" i="12"/>
  <c r="F32" i="12"/>
  <c r="G32" i="12" s="1"/>
  <c r="F31" i="12"/>
  <c r="G31" i="12" s="1"/>
  <c r="G30" i="12"/>
  <c r="J30" i="12" s="1"/>
  <c r="F30" i="12"/>
  <c r="F29" i="12"/>
  <c r="G29" i="12" s="1"/>
  <c r="F28" i="12"/>
  <c r="G28" i="12" s="1"/>
  <c r="F27" i="12"/>
  <c r="G27" i="12" s="1"/>
  <c r="F26" i="12"/>
  <c r="G26" i="12" s="1"/>
  <c r="K26" i="12" s="1"/>
  <c r="F25" i="12"/>
  <c r="G25" i="12" s="1"/>
  <c r="G24" i="12"/>
  <c r="M23" i="12"/>
  <c r="G23" i="12"/>
  <c r="K23" i="12" s="1"/>
  <c r="M21" i="12"/>
  <c r="I21" i="12"/>
  <c r="H21" i="12"/>
  <c r="G21" i="12"/>
  <c r="K21" i="12" s="1"/>
  <c r="M19" i="12"/>
  <c r="G19" i="12"/>
  <c r="F19" i="12"/>
  <c r="M17" i="12"/>
  <c r="F17" i="12"/>
  <c r="G17" i="12" s="1"/>
  <c r="M16" i="12"/>
  <c r="F16" i="12"/>
  <c r="G16" i="12" s="1"/>
  <c r="M15" i="12"/>
  <c r="F15" i="12"/>
  <c r="G15" i="12" s="1"/>
  <c r="J15" i="12" s="1"/>
  <c r="M14" i="12"/>
  <c r="F14" i="12"/>
  <c r="G14" i="12" s="1"/>
  <c r="K14" i="12" s="1"/>
  <c r="G12" i="12"/>
  <c r="K12" i="12" s="1"/>
  <c r="F12" i="12"/>
  <c r="M11" i="12"/>
  <c r="F11" i="12"/>
  <c r="G11" i="12" s="1"/>
  <c r="M10" i="12"/>
  <c r="G10" i="12"/>
  <c r="K10" i="12" s="1"/>
  <c r="M9" i="12"/>
  <c r="G9" i="12"/>
  <c r="K9" i="12" s="1"/>
  <c r="M8" i="12"/>
  <c r="F8" i="12"/>
  <c r="G8" i="12" s="1"/>
  <c r="M7" i="12"/>
  <c r="F7" i="12"/>
  <c r="G7" i="12" s="1"/>
  <c r="J7" i="12" s="1"/>
  <c r="G5" i="11"/>
  <c r="J5" i="11" s="1"/>
  <c r="G213" i="11"/>
  <c r="J213" i="11" s="1"/>
  <c r="G212" i="11"/>
  <c r="J212" i="11" s="1"/>
  <c r="G211" i="11"/>
  <c r="I211" i="11" s="1"/>
  <c r="G210" i="11"/>
  <c r="G209" i="11"/>
  <c r="J209" i="11" s="1"/>
  <c r="G208" i="11"/>
  <c r="J208" i="11" s="1"/>
  <c r="G207" i="11"/>
  <c r="J207" i="11" s="1"/>
  <c r="G206" i="11"/>
  <c r="H206" i="11" s="1"/>
  <c r="G205" i="11"/>
  <c r="I205" i="11" s="1"/>
  <c r="H204" i="11"/>
  <c r="G204" i="11"/>
  <c r="I204" i="11" s="1"/>
  <c r="G203" i="11"/>
  <c r="I203" i="11" s="1"/>
  <c r="G202" i="11"/>
  <c r="G201" i="11"/>
  <c r="J201" i="11" s="1"/>
  <c r="G200" i="11"/>
  <c r="I200" i="11" s="1"/>
  <c r="G199" i="11"/>
  <c r="J199" i="11" s="1"/>
  <c r="G198" i="11"/>
  <c r="G197" i="11"/>
  <c r="J197" i="11" s="1"/>
  <c r="G196" i="11"/>
  <c r="J196" i="11" s="1"/>
  <c r="G195" i="11"/>
  <c r="H195" i="11" s="1"/>
  <c r="G194" i="11"/>
  <c r="J194" i="11" s="1"/>
  <c r="G193" i="11"/>
  <c r="G192" i="11"/>
  <c r="H192" i="11" s="1"/>
  <c r="I191" i="11"/>
  <c r="G191" i="11"/>
  <c r="J191" i="11" s="1"/>
  <c r="G190" i="11"/>
  <c r="G189" i="11"/>
  <c r="J189" i="11" s="1"/>
  <c r="G188" i="11"/>
  <c r="H188" i="11" s="1"/>
  <c r="G187" i="11"/>
  <c r="I187" i="11" s="1"/>
  <c r="G186" i="11"/>
  <c r="G185" i="11"/>
  <c r="J185" i="11" s="1"/>
  <c r="G184" i="11"/>
  <c r="I184" i="11" s="1"/>
  <c r="G183" i="11"/>
  <c r="J183" i="11" s="1"/>
  <c r="G182" i="11"/>
  <c r="G181" i="11"/>
  <c r="J181" i="11" s="1"/>
  <c r="G180" i="11"/>
  <c r="J180" i="11" s="1"/>
  <c r="G179" i="11"/>
  <c r="I179" i="11" s="1"/>
  <c r="G178" i="11"/>
  <c r="G177" i="11"/>
  <c r="J177" i="11" s="1"/>
  <c r="G176" i="11"/>
  <c r="J176" i="11" s="1"/>
  <c r="G175" i="11"/>
  <c r="J175" i="11" s="1"/>
  <c r="G174" i="11"/>
  <c r="H174" i="11" s="1"/>
  <c r="G173" i="11"/>
  <c r="I173" i="11" s="1"/>
  <c r="G172" i="11"/>
  <c r="I172" i="11" s="1"/>
  <c r="G171" i="11"/>
  <c r="I171" i="11" s="1"/>
  <c r="G170" i="11"/>
  <c r="G169" i="11"/>
  <c r="J169" i="11" s="1"/>
  <c r="G168" i="11"/>
  <c r="I168" i="11" s="1"/>
  <c r="G167" i="11"/>
  <c r="J167" i="11" s="1"/>
  <c r="G166" i="11"/>
  <c r="G165" i="11"/>
  <c r="J165" i="11" s="1"/>
  <c r="G164" i="11"/>
  <c r="J164" i="11" s="1"/>
  <c r="G163" i="11"/>
  <c r="H163" i="11" s="1"/>
  <c r="G162" i="11"/>
  <c r="J162" i="11" s="1"/>
  <c r="G161" i="11"/>
  <c r="G160" i="11"/>
  <c r="I160" i="11" s="1"/>
  <c r="I159" i="11"/>
  <c r="H159" i="11"/>
  <c r="G159" i="11"/>
  <c r="J159" i="11" s="1"/>
  <c r="G158" i="11"/>
  <c r="G157" i="11"/>
  <c r="J157" i="11" s="1"/>
  <c r="G156" i="11"/>
  <c r="H156" i="11" s="1"/>
  <c r="G155" i="11"/>
  <c r="I155" i="11" s="1"/>
  <c r="G154" i="11"/>
  <c r="G153" i="11"/>
  <c r="J153" i="11" s="1"/>
  <c r="G152" i="11"/>
  <c r="I152" i="11" s="1"/>
  <c r="G151" i="11"/>
  <c r="J151" i="11" s="1"/>
  <c r="G150" i="11"/>
  <c r="G149" i="11"/>
  <c r="J149" i="11" s="1"/>
  <c r="G148" i="11"/>
  <c r="J148" i="11" s="1"/>
  <c r="G147" i="11"/>
  <c r="I147" i="11" s="1"/>
  <c r="G146" i="11"/>
  <c r="J146" i="11" s="1"/>
  <c r="G145" i="11"/>
  <c r="J145" i="11" s="1"/>
  <c r="G144" i="11"/>
  <c r="J144" i="11" s="1"/>
  <c r="G143" i="11"/>
  <c r="G142" i="11"/>
  <c r="H142" i="11" s="1"/>
  <c r="G141" i="11"/>
  <c r="I141" i="11" s="1"/>
  <c r="H140" i="11"/>
  <c r="G140" i="11"/>
  <c r="I140" i="11" s="1"/>
  <c r="G139" i="11"/>
  <c r="I139" i="11" s="1"/>
  <c r="G138" i="11"/>
  <c r="J138" i="11" s="1"/>
  <c r="G137" i="11"/>
  <c r="J137" i="11" s="1"/>
  <c r="G136" i="11"/>
  <c r="I136" i="11" s="1"/>
  <c r="G135" i="11"/>
  <c r="G134" i="11"/>
  <c r="J134" i="11" s="1"/>
  <c r="G133" i="11"/>
  <c r="J133" i="11" s="1"/>
  <c r="G132" i="11"/>
  <c r="G131" i="11"/>
  <c r="H131" i="11" s="1"/>
  <c r="G130" i="11"/>
  <c r="J130" i="11" s="1"/>
  <c r="G129" i="11"/>
  <c r="J129" i="11" s="1"/>
  <c r="G128" i="11"/>
  <c r="H128" i="11" s="1"/>
  <c r="I127" i="11"/>
  <c r="H127" i="11"/>
  <c r="G127" i="11"/>
  <c r="G126" i="11"/>
  <c r="J126" i="11" s="1"/>
  <c r="G125" i="11"/>
  <c r="J125" i="11" s="1"/>
  <c r="G124" i="11"/>
  <c r="H124" i="11" s="1"/>
  <c r="G123" i="11"/>
  <c r="I123" i="11" s="1"/>
  <c r="G122" i="11"/>
  <c r="J122" i="11" s="1"/>
  <c r="G121" i="11"/>
  <c r="J121" i="11" s="1"/>
  <c r="G120" i="11"/>
  <c r="I120" i="11" s="1"/>
  <c r="G119" i="11"/>
  <c r="G118" i="11"/>
  <c r="J118" i="11" s="1"/>
  <c r="G117" i="11"/>
  <c r="J117" i="11" s="1"/>
  <c r="G116" i="11"/>
  <c r="G115" i="11"/>
  <c r="I115" i="11" s="1"/>
  <c r="G114" i="11"/>
  <c r="J114" i="11" s="1"/>
  <c r="G113" i="11"/>
  <c r="J113" i="11" s="1"/>
  <c r="G112" i="11"/>
  <c r="G111" i="11"/>
  <c r="G110" i="11"/>
  <c r="H110" i="11" s="1"/>
  <c r="G109" i="11"/>
  <c r="I109" i="11" s="1"/>
  <c r="G108" i="11"/>
  <c r="I108" i="11" s="1"/>
  <c r="G107" i="11"/>
  <c r="I107" i="11" s="1"/>
  <c r="G106" i="11"/>
  <c r="J106" i="11" s="1"/>
  <c r="G105" i="11"/>
  <c r="J105" i="11" s="1"/>
  <c r="G104" i="11"/>
  <c r="I104" i="11" s="1"/>
  <c r="G103" i="11"/>
  <c r="G102" i="11"/>
  <c r="J102" i="11" s="1"/>
  <c r="G101" i="11"/>
  <c r="J101" i="11" s="1"/>
  <c r="G100" i="11"/>
  <c r="G99" i="11"/>
  <c r="G98" i="11"/>
  <c r="H98" i="11" s="1"/>
  <c r="G97" i="11"/>
  <c r="J97" i="11" s="1"/>
  <c r="G96" i="11"/>
  <c r="G95" i="11"/>
  <c r="G94" i="11"/>
  <c r="H94" i="11" s="1"/>
  <c r="G93" i="11"/>
  <c r="J93" i="11" s="1"/>
  <c r="G92" i="11"/>
  <c r="G91" i="11"/>
  <c r="H91" i="11" s="1"/>
  <c r="G90" i="11"/>
  <c r="H90" i="11" s="1"/>
  <c r="G89" i="11"/>
  <c r="J89" i="11" s="1"/>
  <c r="G88" i="11"/>
  <c r="G87" i="11"/>
  <c r="I87" i="11" s="1"/>
  <c r="G86" i="11"/>
  <c r="H86" i="11" s="1"/>
  <c r="G85" i="11"/>
  <c r="J85" i="11" s="1"/>
  <c r="G84" i="11"/>
  <c r="G83" i="11"/>
  <c r="J83" i="11" s="1"/>
  <c r="G82" i="11"/>
  <c r="H82" i="11" s="1"/>
  <c r="G81" i="11"/>
  <c r="J81" i="11" s="1"/>
  <c r="G80" i="11"/>
  <c r="G79" i="11"/>
  <c r="J79" i="11" s="1"/>
  <c r="G78" i="11"/>
  <c r="H78" i="11" s="1"/>
  <c r="G77" i="11"/>
  <c r="J77" i="11" s="1"/>
  <c r="G76" i="11"/>
  <c r="I76" i="11" s="1"/>
  <c r="G75" i="11"/>
  <c r="J75" i="11" s="1"/>
  <c r="G74" i="11"/>
  <c r="H74" i="11" s="1"/>
  <c r="G73" i="11"/>
  <c r="J73" i="11" s="1"/>
  <c r="G72" i="11"/>
  <c r="I72" i="11" s="1"/>
  <c r="G71" i="11"/>
  <c r="J71" i="11" s="1"/>
  <c r="G70" i="11"/>
  <c r="H70" i="11" s="1"/>
  <c r="G69" i="11"/>
  <c r="J69" i="11" s="1"/>
  <c r="G68" i="11"/>
  <c r="I68" i="11" s="1"/>
  <c r="G67" i="11"/>
  <c r="J67" i="11" s="1"/>
  <c r="G66" i="11"/>
  <c r="J66" i="11" s="1"/>
  <c r="G65" i="11"/>
  <c r="J65" i="11" s="1"/>
  <c r="G64" i="11"/>
  <c r="I64" i="11" s="1"/>
  <c r="G63" i="11"/>
  <c r="H63" i="11" s="1"/>
  <c r="G62" i="11"/>
  <c r="H62" i="11" s="1"/>
  <c r="G61" i="11"/>
  <c r="J61" i="11" s="1"/>
  <c r="G60" i="11"/>
  <c r="I60" i="11" s="1"/>
  <c r="G59" i="11"/>
  <c r="H59" i="11" s="1"/>
  <c r="G58" i="11"/>
  <c r="H58" i="11" s="1"/>
  <c r="K57" i="11"/>
  <c r="G57" i="11"/>
  <c r="K56" i="11"/>
  <c r="G56" i="11"/>
  <c r="K55" i="11"/>
  <c r="G55" i="11"/>
  <c r="K54" i="11"/>
  <c r="G54" i="11"/>
  <c r="K53" i="11"/>
  <c r="G53" i="11"/>
  <c r="K52" i="11"/>
  <c r="G52" i="11"/>
  <c r="K50" i="11"/>
  <c r="G50" i="11"/>
  <c r="K49" i="11"/>
  <c r="G49" i="11"/>
  <c r="K48" i="11"/>
  <c r="G48" i="11"/>
  <c r="K47" i="11"/>
  <c r="G47" i="11"/>
  <c r="K46" i="11"/>
  <c r="G46" i="11"/>
  <c r="K45" i="11"/>
  <c r="G45" i="11"/>
  <c r="K43" i="11"/>
  <c r="F43" i="11"/>
  <c r="G43" i="11" s="1"/>
  <c r="K42" i="11"/>
  <c r="F42" i="11"/>
  <c r="G42" i="11" s="1"/>
  <c r="K41" i="11"/>
  <c r="F41" i="11"/>
  <c r="G41" i="11" s="1"/>
  <c r="I41" i="11" s="1"/>
  <c r="K40" i="11"/>
  <c r="F40" i="11"/>
  <c r="G40" i="11" s="1"/>
  <c r="H40" i="11" s="1"/>
  <c r="K39" i="11"/>
  <c r="F39" i="11"/>
  <c r="G39" i="11" s="1"/>
  <c r="K37" i="11"/>
  <c r="F37" i="11"/>
  <c r="G37" i="11" s="1"/>
  <c r="I37" i="11" s="1"/>
  <c r="K36" i="11"/>
  <c r="F36" i="11"/>
  <c r="G36" i="11" s="1"/>
  <c r="K35" i="11"/>
  <c r="F35" i="11"/>
  <c r="G35" i="11" s="1"/>
  <c r="H35" i="11" s="1"/>
  <c r="K34" i="11"/>
  <c r="F34" i="11"/>
  <c r="G34" i="11" s="1"/>
  <c r="K33" i="11"/>
  <c r="F33" i="11"/>
  <c r="G33" i="11" s="1"/>
  <c r="I33" i="11" s="1"/>
  <c r="K32" i="11"/>
  <c r="F32" i="11"/>
  <c r="G32" i="11" s="1"/>
  <c r="H32" i="11" s="1"/>
  <c r="K31" i="11"/>
  <c r="F31" i="11"/>
  <c r="G31" i="11" s="1"/>
  <c r="H31" i="11" s="1"/>
  <c r="K30" i="11"/>
  <c r="F30" i="11"/>
  <c r="G30" i="11" s="1"/>
  <c r="K29" i="11"/>
  <c r="F29" i="11"/>
  <c r="G29" i="11" s="1"/>
  <c r="I29" i="11" s="1"/>
  <c r="K28" i="11"/>
  <c r="F28" i="11"/>
  <c r="G28" i="11" s="1"/>
  <c r="K26" i="11"/>
  <c r="G26" i="11"/>
  <c r="I26" i="11" s="1"/>
  <c r="K25" i="11"/>
  <c r="G25" i="11"/>
  <c r="I25" i="11" s="1"/>
  <c r="K24" i="11"/>
  <c r="G24" i="11"/>
  <c r="I24" i="11" s="1"/>
  <c r="K23" i="11"/>
  <c r="G23" i="11"/>
  <c r="I23" i="11" s="1"/>
  <c r="K22" i="11"/>
  <c r="G22" i="11"/>
  <c r="I22" i="11" s="1"/>
  <c r="K21" i="11"/>
  <c r="G21" i="11"/>
  <c r="I21" i="11" s="1"/>
  <c r="K20" i="11"/>
  <c r="G20" i="11"/>
  <c r="I20" i="11" s="1"/>
  <c r="K19" i="11"/>
  <c r="G19" i="11"/>
  <c r="I19" i="11" s="1"/>
  <c r="K17" i="11"/>
  <c r="G17" i="11"/>
  <c r="K16" i="11"/>
  <c r="G16" i="11"/>
  <c r="I16" i="11" s="1"/>
  <c r="K15" i="11"/>
  <c r="G15" i="11"/>
  <c r="I15" i="11" s="1"/>
  <c r="K14" i="11"/>
  <c r="G14" i="11"/>
  <c r="I14" i="11" s="1"/>
  <c r="K12" i="11"/>
  <c r="F12" i="11"/>
  <c r="G12" i="11" s="1"/>
  <c r="H12" i="11" s="1"/>
  <c r="K11" i="11"/>
  <c r="F11" i="11"/>
  <c r="G11" i="11" s="1"/>
  <c r="K10" i="11"/>
  <c r="C10" i="11"/>
  <c r="G10" i="11" s="1"/>
  <c r="K9" i="11"/>
  <c r="B9" i="11"/>
  <c r="G9" i="11" s="1"/>
  <c r="H9" i="11" s="1"/>
  <c r="F8" i="11"/>
  <c r="G8" i="11" s="1"/>
  <c r="H8" i="11" s="1"/>
  <c r="F7" i="11"/>
  <c r="G7" i="11" s="1"/>
  <c r="H7" i="11" s="1"/>
  <c r="I90" i="11" l="1"/>
  <c r="J205" i="11"/>
  <c r="J173" i="11"/>
  <c r="J131" i="11"/>
  <c r="J87" i="11"/>
  <c r="I128" i="11"/>
  <c r="I131" i="11"/>
  <c r="I163" i="11"/>
  <c r="I192" i="11"/>
  <c r="I195" i="11"/>
  <c r="J204" i="11"/>
  <c r="J200" i="11"/>
  <c r="J192" i="11"/>
  <c r="J188" i="11"/>
  <c r="J184" i="11"/>
  <c r="J172" i="11"/>
  <c r="J168" i="11"/>
  <c r="J160" i="11"/>
  <c r="J156" i="11"/>
  <c r="J152" i="11"/>
  <c r="J142" i="11"/>
  <c r="J110" i="11"/>
  <c r="J98" i="11"/>
  <c r="J94" i="11"/>
  <c r="J90" i="11"/>
  <c r="J86" i="11"/>
  <c r="J82" i="11"/>
  <c r="J78" i="11"/>
  <c r="J74" i="11"/>
  <c r="H191" i="11"/>
  <c r="J211" i="11"/>
  <c r="J203" i="11"/>
  <c r="J195" i="11"/>
  <c r="J187" i="11"/>
  <c r="J179" i="11"/>
  <c r="J171" i="11"/>
  <c r="J163" i="11"/>
  <c r="J155" i="11"/>
  <c r="J147" i="11"/>
  <c r="J141" i="11"/>
  <c r="J109" i="11"/>
  <c r="H24" i="11"/>
  <c r="H16" i="11"/>
  <c r="J58" i="11"/>
  <c r="J62" i="11"/>
  <c r="J63" i="11"/>
  <c r="I63" i="11"/>
  <c r="J59" i="11"/>
  <c r="J70" i="11"/>
  <c r="I35" i="11"/>
  <c r="I59" i="11"/>
  <c r="H20" i="11"/>
  <c r="J72" i="11"/>
  <c r="J68" i="11"/>
  <c r="J64" i="11"/>
  <c r="J60" i="11"/>
  <c r="H190" i="11"/>
  <c r="I190" i="11"/>
  <c r="I176" i="11"/>
  <c r="H176" i="11"/>
  <c r="I112" i="11"/>
  <c r="H112" i="11"/>
  <c r="H126" i="11"/>
  <c r="I126" i="11"/>
  <c r="H28" i="11"/>
  <c r="I28" i="11"/>
  <c r="I67" i="11"/>
  <c r="H67" i="11"/>
  <c r="I71" i="11"/>
  <c r="H71" i="11"/>
  <c r="I75" i="11"/>
  <c r="H75" i="11"/>
  <c r="I79" i="11"/>
  <c r="H79" i="11"/>
  <c r="I83" i="11"/>
  <c r="H83" i="11"/>
  <c r="H95" i="11"/>
  <c r="I95" i="11"/>
  <c r="H99" i="11"/>
  <c r="I99" i="11"/>
  <c r="I111" i="11"/>
  <c r="H111" i="11"/>
  <c r="I125" i="11"/>
  <c r="H125" i="11"/>
  <c r="H158" i="11"/>
  <c r="I158" i="11"/>
  <c r="I175" i="11"/>
  <c r="H175" i="11"/>
  <c r="I208" i="11"/>
  <c r="H208" i="11"/>
  <c r="H15" i="11"/>
  <c r="H19" i="11"/>
  <c r="H87" i="11"/>
  <c r="I91" i="11"/>
  <c r="H147" i="11"/>
  <c r="H160" i="11"/>
  <c r="H173" i="11"/>
  <c r="H108" i="11"/>
  <c r="H66" i="11"/>
  <c r="I66" i="11"/>
  <c r="I144" i="11"/>
  <c r="H144" i="11"/>
  <c r="I189" i="11"/>
  <c r="H189" i="11"/>
  <c r="H23" i="11"/>
  <c r="H109" i="11"/>
  <c r="I142" i="11"/>
  <c r="I156" i="11"/>
  <c r="I206" i="11"/>
  <c r="H211" i="11"/>
  <c r="H14" i="11"/>
  <c r="I17" i="11"/>
  <c r="H17" i="11"/>
  <c r="H22" i="11"/>
  <c r="H26" i="11"/>
  <c r="I143" i="11"/>
  <c r="H143" i="11"/>
  <c r="I157" i="11"/>
  <c r="H157" i="11"/>
  <c r="H172" i="11"/>
  <c r="I207" i="11"/>
  <c r="H207" i="11"/>
  <c r="H21" i="11"/>
  <c r="H25" i="11"/>
  <c r="I32" i="11"/>
  <c r="I110" i="11"/>
  <c r="H115" i="11"/>
  <c r="I124" i="11"/>
  <c r="H141" i="11"/>
  <c r="I174" i="11"/>
  <c r="H179" i="11"/>
  <c r="I188" i="11"/>
  <c r="H205" i="11"/>
  <c r="K29" i="12"/>
  <c r="J29" i="12"/>
  <c r="K53" i="12"/>
  <c r="J53" i="12"/>
  <c r="K61" i="12"/>
  <c r="J61" i="12"/>
  <c r="K85" i="12"/>
  <c r="J85" i="12"/>
  <c r="K89" i="12"/>
  <c r="J89" i="12"/>
  <c r="K93" i="12"/>
  <c r="J93" i="12"/>
  <c r="K140" i="12"/>
  <c r="J140" i="12"/>
  <c r="K25" i="12"/>
  <c r="J25" i="12"/>
  <c r="K57" i="12"/>
  <c r="J57" i="12"/>
  <c r="K37" i="12"/>
  <c r="J37" i="12"/>
  <c r="K41" i="12"/>
  <c r="J41" i="12"/>
  <c r="K45" i="12"/>
  <c r="J45" i="12"/>
  <c r="K69" i="12"/>
  <c r="J69" i="12"/>
  <c r="K73" i="12"/>
  <c r="J73" i="12"/>
  <c r="K77" i="12"/>
  <c r="J77" i="12"/>
  <c r="K101" i="12"/>
  <c r="J101" i="12"/>
  <c r="J104" i="12"/>
  <c r="K104" i="12"/>
  <c r="K133" i="12"/>
  <c r="J133" i="12"/>
  <c r="J147" i="12"/>
  <c r="K147" i="12"/>
  <c r="K177" i="12"/>
  <c r="J177" i="12"/>
  <c r="K193" i="12"/>
  <c r="J193" i="12"/>
  <c r="J33" i="12"/>
  <c r="J49" i="12"/>
  <c r="J65" i="12"/>
  <c r="J81" i="12"/>
  <c r="J97" i="12"/>
  <c r="K103" i="12"/>
  <c r="J108" i="12"/>
  <c r="K112" i="12"/>
  <c r="J116" i="12"/>
  <c r="K121" i="12"/>
  <c r="J121" i="12"/>
  <c r="J124" i="12"/>
  <c r="J127" i="12"/>
  <c r="K127" i="12"/>
  <c r="J137" i="12"/>
  <c r="K165" i="12"/>
  <c r="J165" i="12"/>
  <c r="K201" i="12"/>
  <c r="J201" i="12"/>
  <c r="K209" i="12"/>
  <c r="J209" i="12"/>
  <c r="J107" i="12"/>
  <c r="J115" i="12"/>
  <c r="K115" i="12"/>
  <c r="J136" i="12"/>
  <c r="J149" i="12"/>
  <c r="K152" i="12"/>
  <c r="J160" i="12"/>
  <c r="J168" i="12"/>
  <c r="K176" i="12"/>
  <c r="J176" i="12"/>
  <c r="J14" i="12"/>
  <c r="K102" i="12"/>
  <c r="K132" i="12"/>
  <c r="J148" i="12"/>
  <c r="K153" i="12"/>
  <c r="J153" i="12"/>
  <c r="J159" i="12"/>
  <c r="K159" i="12"/>
  <c r="K208" i="12"/>
  <c r="J208" i="12"/>
  <c r="K19" i="12"/>
  <c r="J19" i="12"/>
  <c r="K164" i="12"/>
  <c r="J164" i="12"/>
  <c r="K172" i="12"/>
  <c r="J172" i="12"/>
  <c r="J191" i="12"/>
  <c r="K191" i="12"/>
  <c r="J12" i="12"/>
  <c r="K183" i="12"/>
  <c r="J200" i="12"/>
  <c r="J11" i="12"/>
  <c r="K11" i="12"/>
  <c r="J17" i="12"/>
  <c r="K17" i="12"/>
  <c r="K126" i="12"/>
  <c r="J126" i="12"/>
  <c r="K154" i="12"/>
  <c r="J154" i="12"/>
  <c r="J40" i="12"/>
  <c r="K40" i="12"/>
  <c r="J44" i="12"/>
  <c r="K44" i="12"/>
  <c r="J48" i="12"/>
  <c r="K48" i="12"/>
  <c r="J52" i="12"/>
  <c r="K52" i="12"/>
  <c r="J64" i="12"/>
  <c r="K64" i="12"/>
  <c r="J84" i="12"/>
  <c r="K84" i="12"/>
  <c r="J88" i="12"/>
  <c r="K88" i="12"/>
  <c r="J92" i="12"/>
  <c r="K92" i="12"/>
  <c r="J96" i="12"/>
  <c r="K96" i="12"/>
  <c r="J100" i="12"/>
  <c r="K100" i="12"/>
  <c r="K110" i="12"/>
  <c r="J110" i="12"/>
  <c r="K138" i="12"/>
  <c r="J138" i="12"/>
  <c r="K142" i="12"/>
  <c r="J142" i="12"/>
  <c r="K170" i="12"/>
  <c r="J170" i="12"/>
  <c r="K174" i="12"/>
  <c r="J174" i="12"/>
  <c r="K206" i="12"/>
  <c r="J206" i="12"/>
  <c r="K122" i="12"/>
  <c r="J122" i="12"/>
  <c r="K158" i="12"/>
  <c r="J158" i="12"/>
  <c r="K190" i="12"/>
  <c r="J190" i="12"/>
  <c r="J24" i="12"/>
  <c r="K24" i="12"/>
  <c r="J28" i="12"/>
  <c r="K28" i="12"/>
  <c r="J32" i="12"/>
  <c r="K32" i="12"/>
  <c r="J36" i="12"/>
  <c r="K36" i="12"/>
  <c r="J56" i="12"/>
  <c r="K56" i="12"/>
  <c r="J60" i="12"/>
  <c r="K60" i="12"/>
  <c r="J68" i="12"/>
  <c r="K68" i="12"/>
  <c r="J72" i="12"/>
  <c r="K72" i="12"/>
  <c r="J76" i="12"/>
  <c r="K76" i="12"/>
  <c r="J80" i="12"/>
  <c r="K80" i="12"/>
  <c r="K182" i="12"/>
  <c r="J182" i="12"/>
  <c r="K8" i="12"/>
  <c r="J8" i="12"/>
  <c r="K16" i="12"/>
  <c r="J16" i="12"/>
  <c r="K27" i="12"/>
  <c r="J27" i="12"/>
  <c r="K31" i="12"/>
  <c r="J31" i="12"/>
  <c r="K35" i="12"/>
  <c r="J35" i="12"/>
  <c r="K39" i="12"/>
  <c r="J39" i="12"/>
  <c r="K43" i="12"/>
  <c r="J43" i="12"/>
  <c r="K47" i="12"/>
  <c r="J47" i="12"/>
  <c r="K51" i="12"/>
  <c r="J51" i="12"/>
  <c r="K55" i="12"/>
  <c r="J55" i="12"/>
  <c r="K59" i="12"/>
  <c r="J59" i="12"/>
  <c r="K63" i="12"/>
  <c r="J63" i="12"/>
  <c r="K67" i="12"/>
  <c r="J67" i="12"/>
  <c r="K71" i="12"/>
  <c r="J71" i="12"/>
  <c r="K75" i="12"/>
  <c r="J75" i="12"/>
  <c r="K79" i="12"/>
  <c r="J79" i="12"/>
  <c r="K83" i="12"/>
  <c r="J83" i="12"/>
  <c r="K87" i="12"/>
  <c r="J87" i="12"/>
  <c r="K91" i="12"/>
  <c r="J91" i="12"/>
  <c r="K95" i="12"/>
  <c r="J95" i="12"/>
  <c r="K99" i="12"/>
  <c r="J99" i="12"/>
  <c r="K198" i="12"/>
  <c r="J198" i="12"/>
  <c r="K210" i="12"/>
  <c r="J210" i="12"/>
  <c r="K130" i="12"/>
  <c r="J130" i="12"/>
  <c r="K162" i="12"/>
  <c r="J162" i="12"/>
  <c r="J26" i="12"/>
  <c r="J42" i="12"/>
  <c r="J46" i="12"/>
  <c r="J50" i="12"/>
  <c r="J54" i="12"/>
  <c r="J74" i="12"/>
  <c r="J78" i="12"/>
  <c r="J82" i="12"/>
  <c r="J90" i="12"/>
  <c r="J98" i="12"/>
  <c r="J105" i="12"/>
  <c r="K106" i="12"/>
  <c r="J113" i="12"/>
  <c r="K123" i="12"/>
  <c r="J129" i="12"/>
  <c r="K139" i="12"/>
  <c r="J145" i="12"/>
  <c r="K155" i="12"/>
  <c r="J161" i="12"/>
  <c r="K171" i="12"/>
  <c r="J180" i="12"/>
  <c r="J188" i="12"/>
  <c r="J196" i="12"/>
  <c r="J204" i="12"/>
  <c r="J212" i="12"/>
  <c r="K7" i="12"/>
  <c r="J9" i="12"/>
  <c r="J10" i="12"/>
  <c r="K15" i="12"/>
  <c r="J21" i="12"/>
  <c r="J23" i="12"/>
  <c r="K30" i="12"/>
  <c r="K34" i="12"/>
  <c r="K38" i="12"/>
  <c r="K58" i="12"/>
  <c r="K62" i="12"/>
  <c r="K66" i="12"/>
  <c r="K70" i="12"/>
  <c r="K86" i="12"/>
  <c r="K94" i="12"/>
  <c r="J109" i="12"/>
  <c r="K119" i="12"/>
  <c r="J125" i="12"/>
  <c r="K135" i="12"/>
  <c r="J141" i="12"/>
  <c r="K151" i="12"/>
  <c r="J157" i="12"/>
  <c r="K167" i="12"/>
  <c r="J173" i="12"/>
  <c r="K179" i="12"/>
  <c r="J181" i="12"/>
  <c r="K187" i="12"/>
  <c r="J189" i="12"/>
  <c r="K195" i="12"/>
  <c r="J197" i="12"/>
  <c r="K203" i="12"/>
  <c r="J205" i="12"/>
  <c r="K211" i="12"/>
  <c r="J213" i="12"/>
  <c r="K114" i="12"/>
  <c r="J114" i="12"/>
  <c r="K146" i="12"/>
  <c r="J146" i="12"/>
  <c r="K118" i="12"/>
  <c r="J118" i="12"/>
  <c r="K134" i="12"/>
  <c r="J134" i="12"/>
  <c r="K150" i="12"/>
  <c r="J150" i="12"/>
  <c r="K166" i="12"/>
  <c r="J166" i="12"/>
  <c r="K178" i="12"/>
  <c r="J178" i="12"/>
  <c r="K186" i="12"/>
  <c r="J186" i="12"/>
  <c r="K194" i="12"/>
  <c r="J194" i="12"/>
  <c r="K202" i="12"/>
  <c r="J202" i="12"/>
  <c r="I36" i="11"/>
  <c r="H36" i="11"/>
  <c r="I42" i="11"/>
  <c r="H42" i="11"/>
  <c r="H41" i="11"/>
  <c r="H72" i="11"/>
  <c r="I43" i="11"/>
  <c r="H43" i="11"/>
  <c r="I61" i="11"/>
  <c r="H61" i="11"/>
  <c r="I34" i="11"/>
  <c r="H34" i="11"/>
  <c r="I65" i="11"/>
  <c r="H65" i="11"/>
  <c r="H11" i="11"/>
  <c r="I11" i="11"/>
  <c r="I30" i="11"/>
  <c r="H30" i="11"/>
  <c r="I10" i="11"/>
  <c r="H10" i="11"/>
  <c r="I73" i="11"/>
  <c r="H73" i="11"/>
  <c r="I77" i="11"/>
  <c r="H77" i="11"/>
  <c r="I39" i="11"/>
  <c r="H39" i="11"/>
  <c r="I85" i="11"/>
  <c r="H85" i="11"/>
  <c r="I92" i="11"/>
  <c r="H92" i="11"/>
  <c r="I101" i="11"/>
  <c r="H101" i="11"/>
  <c r="I103" i="11"/>
  <c r="H103" i="11"/>
  <c r="H118" i="11"/>
  <c r="I118" i="11"/>
  <c r="I129" i="11"/>
  <c r="H129" i="11"/>
  <c r="I135" i="11"/>
  <c r="H135" i="11"/>
  <c r="H150" i="11"/>
  <c r="I150" i="11"/>
  <c r="I161" i="11"/>
  <c r="H161" i="11"/>
  <c r="I167" i="11"/>
  <c r="H167" i="11"/>
  <c r="H182" i="11"/>
  <c r="I182" i="11"/>
  <c r="I193" i="11"/>
  <c r="H193" i="11"/>
  <c r="I199" i="11"/>
  <c r="H199" i="11"/>
  <c r="I45" i="11"/>
  <c r="H45" i="11"/>
  <c r="I47" i="11"/>
  <c r="H47" i="11"/>
  <c r="I52" i="11"/>
  <c r="H52" i="11"/>
  <c r="I54" i="11"/>
  <c r="H54" i="11"/>
  <c r="I56" i="11"/>
  <c r="H56" i="11"/>
  <c r="I62" i="11"/>
  <c r="I80" i="11"/>
  <c r="H80" i="11"/>
  <c r="I89" i="11"/>
  <c r="H89" i="11"/>
  <c r="I94" i="11"/>
  <c r="H122" i="11"/>
  <c r="I122" i="11"/>
  <c r="I201" i="11"/>
  <c r="H201" i="11"/>
  <c r="H210" i="11"/>
  <c r="I210" i="11"/>
  <c r="I9" i="11"/>
  <c r="I12" i="11"/>
  <c r="I58" i="11"/>
  <c r="H64" i="11"/>
  <c r="I74" i="11"/>
  <c r="I82" i="11"/>
  <c r="I84" i="11"/>
  <c r="H84" i="11"/>
  <c r="I93" i="11"/>
  <c r="H93" i="11"/>
  <c r="I98" i="11"/>
  <c r="I100" i="11"/>
  <c r="H100" i="11"/>
  <c r="H102" i="11"/>
  <c r="I102" i="11"/>
  <c r="I113" i="11"/>
  <c r="H113" i="11"/>
  <c r="I117" i="11"/>
  <c r="H117" i="11"/>
  <c r="I119" i="11"/>
  <c r="H119" i="11"/>
  <c r="I132" i="11"/>
  <c r="H132" i="11"/>
  <c r="H134" i="11"/>
  <c r="I134" i="11"/>
  <c r="I145" i="11"/>
  <c r="H145" i="11"/>
  <c r="I149" i="11"/>
  <c r="H149" i="11"/>
  <c r="I151" i="11"/>
  <c r="H151" i="11"/>
  <c r="I164" i="11"/>
  <c r="H164" i="11"/>
  <c r="H166" i="11"/>
  <c r="I166" i="11"/>
  <c r="I177" i="11"/>
  <c r="H177" i="11"/>
  <c r="I181" i="11"/>
  <c r="H181" i="11"/>
  <c r="I183" i="11"/>
  <c r="H183" i="11"/>
  <c r="I196" i="11"/>
  <c r="H196" i="11"/>
  <c r="H198" i="11"/>
  <c r="I198" i="11"/>
  <c r="I209" i="11"/>
  <c r="H209" i="11"/>
  <c r="I213" i="11"/>
  <c r="H213" i="11"/>
  <c r="I69" i="11"/>
  <c r="H69" i="11"/>
  <c r="I116" i="11"/>
  <c r="H116" i="11"/>
  <c r="I133" i="11"/>
  <c r="H133" i="11"/>
  <c r="I148" i="11"/>
  <c r="H148" i="11"/>
  <c r="I165" i="11"/>
  <c r="H165" i="11"/>
  <c r="I180" i="11"/>
  <c r="H180" i="11"/>
  <c r="I197" i="11"/>
  <c r="H197" i="11"/>
  <c r="I212" i="11"/>
  <c r="H212" i="11"/>
  <c r="I31" i="11"/>
  <c r="H37" i="11"/>
  <c r="I49" i="11"/>
  <c r="H49" i="11"/>
  <c r="H68" i="11"/>
  <c r="I78" i="11"/>
  <c r="I96" i="11"/>
  <c r="H96" i="11"/>
  <c r="I105" i="11"/>
  <c r="H105" i="11"/>
  <c r="H114" i="11"/>
  <c r="I114" i="11"/>
  <c r="I137" i="11"/>
  <c r="H137" i="11"/>
  <c r="H146" i="11"/>
  <c r="I146" i="11"/>
  <c r="H154" i="11"/>
  <c r="I154" i="11"/>
  <c r="I169" i="11"/>
  <c r="H169" i="11"/>
  <c r="H178" i="11"/>
  <c r="I178" i="11"/>
  <c r="H186" i="11"/>
  <c r="I186" i="11"/>
  <c r="H33" i="11"/>
  <c r="H29" i="11"/>
  <c r="I40" i="11"/>
  <c r="I46" i="11"/>
  <c r="H46" i="11"/>
  <c r="I48" i="11"/>
  <c r="H48" i="11"/>
  <c r="I50" i="11"/>
  <c r="H50" i="11"/>
  <c r="I53" i="11"/>
  <c r="H53" i="11"/>
  <c r="I55" i="11"/>
  <c r="H55" i="11"/>
  <c r="I57" i="11"/>
  <c r="H57" i="11"/>
  <c r="H60" i="11"/>
  <c r="I70" i="11"/>
  <c r="H76" i="11"/>
  <c r="I81" i="11"/>
  <c r="H81" i="11"/>
  <c r="I86" i="11"/>
  <c r="I88" i="11"/>
  <c r="H88" i="11"/>
  <c r="I97" i="11"/>
  <c r="H97" i="11"/>
  <c r="H106" i="11"/>
  <c r="I106" i="11"/>
  <c r="I121" i="11"/>
  <c r="H121" i="11"/>
  <c r="H130" i="11"/>
  <c r="I130" i="11"/>
  <c r="H138" i="11"/>
  <c r="I138" i="11"/>
  <c r="I153" i="11"/>
  <c r="H153" i="11"/>
  <c r="H162" i="11"/>
  <c r="I162" i="11"/>
  <c r="H170" i="11"/>
  <c r="I170" i="11"/>
  <c r="I185" i="11"/>
  <c r="H185" i="11"/>
  <c r="H194" i="11"/>
  <c r="I194" i="11"/>
  <c r="H202" i="11"/>
  <c r="I202" i="11"/>
  <c r="H104" i="11"/>
  <c r="H107" i="11"/>
  <c r="H120" i="11"/>
  <c r="H123" i="11"/>
  <c r="H136" i="11"/>
  <c r="H139" i="11"/>
  <c r="H152" i="11"/>
  <c r="H155" i="11"/>
  <c r="H168" i="11"/>
  <c r="H171" i="11"/>
  <c r="H184" i="11"/>
  <c r="H187" i="11"/>
  <c r="H200" i="11"/>
  <c r="H203" i="11"/>
  <c r="G30" i="4" l="1"/>
  <c r="G28" i="4"/>
  <c r="G27" i="4"/>
  <c r="G24" i="4"/>
  <c r="G23" i="4"/>
  <c r="G21" i="4"/>
  <c r="G19" i="4"/>
  <c r="G17" i="4"/>
  <c r="G15" i="4"/>
  <c r="G14" i="4"/>
  <c r="G13" i="4"/>
  <c r="G12" i="4"/>
  <c r="G10" i="4"/>
  <c r="G9" i="4"/>
  <c r="G8" i="4"/>
  <c r="G7" i="4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74" i="5"/>
  <c r="I5" i="5"/>
  <c r="J5" i="5"/>
  <c r="G5" i="5"/>
  <c r="M35" i="4"/>
  <c r="M37" i="4"/>
  <c r="M39" i="4"/>
  <c r="M41" i="4"/>
  <c r="M42" i="4"/>
  <c r="M45" i="4"/>
  <c r="M50" i="4"/>
  <c r="M51" i="4"/>
  <c r="M53" i="4"/>
  <c r="M57" i="4"/>
  <c r="M58" i="4"/>
  <c r="M61" i="4"/>
  <c r="M63" i="4"/>
  <c r="M66" i="4"/>
  <c r="M69" i="4"/>
  <c r="M71" i="4"/>
  <c r="M73" i="4"/>
  <c r="M77" i="4"/>
  <c r="M78" i="4"/>
  <c r="M79" i="4"/>
  <c r="M85" i="4"/>
  <c r="M87" i="4"/>
  <c r="M89" i="4"/>
  <c r="M93" i="4"/>
  <c r="M94" i="4"/>
  <c r="M99" i="4"/>
  <c r="M101" i="4"/>
  <c r="M105" i="4"/>
  <c r="M106" i="4"/>
  <c r="M109" i="4"/>
  <c r="M114" i="4"/>
  <c r="M115" i="4"/>
  <c r="M117" i="4"/>
  <c r="M121" i="4"/>
  <c r="M122" i="4"/>
  <c r="M125" i="4"/>
  <c r="M127" i="4"/>
  <c r="M133" i="4"/>
  <c r="M135" i="4"/>
  <c r="M137" i="4"/>
  <c r="M141" i="4"/>
  <c r="M143" i="4"/>
  <c r="M149" i="4"/>
  <c r="M151" i="4"/>
  <c r="M153" i="4"/>
  <c r="M157" i="4"/>
  <c r="M158" i="4"/>
  <c r="M163" i="4"/>
  <c r="M165" i="4"/>
  <c r="M169" i="4"/>
  <c r="M170" i="4"/>
  <c r="M173" i="4"/>
  <c r="M179" i="4"/>
  <c r="M181" i="4"/>
  <c r="M185" i="4"/>
  <c r="M189" i="4"/>
  <c r="M191" i="4"/>
  <c r="M197" i="4"/>
  <c r="M199" i="4"/>
  <c r="M201" i="4"/>
  <c r="M205" i="4"/>
  <c r="M207" i="4"/>
  <c r="M5" i="4"/>
  <c r="M6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M188" i="4" s="1"/>
  <c r="K189" i="4"/>
  <c r="K190" i="4"/>
  <c r="K191" i="4"/>
  <c r="K192" i="4"/>
  <c r="M192" i="4" s="1"/>
  <c r="K193" i="4"/>
  <c r="M193" i="4" s="1"/>
  <c r="K194" i="4"/>
  <c r="K195" i="4"/>
  <c r="K196" i="4"/>
  <c r="M196" i="4" s="1"/>
  <c r="K197" i="4"/>
  <c r="K198" i="4"/>
  <c r="K199" i="4"/>
  <c r="K200" i="4"/>
  <c r="K201" i="4"/>
  <c r="K202" i="4"/>
  <c r="K203" i="4"/>
  <c r="K204" i="4"/>
  <c r="M204" i="4" s="1"/>
  <c r="K205" i="4"/>
  <c r="K206" i="4"/>
  <c r="K207" i="4"/>
  <c r="K208" i="4"/>
  <c r="M208" i="4" s="1"/>
  <c r="K209" i="4"/>
  <c r="M209" i="4" s="1"/>
  <c r="K210" i="4"/>
  <c r="K211" i="4"/>
  <c r="K212" i="4"/>
  <c r="M212" i="4" s="1"/>
  <c r="K31" i="4"/>
  <c r="M31" i="4" s="1"/>
  <c r="K5" i="4"/>
  <c r="L15" i="7"/>
  <c r="K15" i="7"/>
  <c r="K39" i="7"/>
  <c r="K40" i="7"/>
  <c r="B73" i="5"/>
  <c r="B71" i="5"/>
  <c r="B72" i="5"/>
  <c r="B70" i="5"/>
  <c r="C70" i="5"/>
  <c r="E30" i="4"/>
  <c r="B30" i="4"/>
  <c r="L31" i="7"/>
  <c r="L40" i="7" s="1"/>
  <c r="K31" i="7"/>
  <c r="I64" i="5"/>
  <c r="I70" i="5"/>
  <c r="I71" i="5"/>
  <c r="I73" i="5"/>
  <c r="I63" i="5"/>
  <c r="I61" i="5"/>
  <c r="I60" i="5"/>
  <c r="I59" i="5"/>
  <c r="I58" i="5"/>
  <c r="I57" i="5"/>
  <c r="I56" i="5"/>
  <c r="I55" i="5"/>
  <c r="I54" i="5"/>
  <c r="I53" i="5"/>
  <c r="I52" i="5"/>
  <c r="I50" i="5"/>
  <c r="I49" i="5"/>
  <c r="I48" i="5"/>
  <c r="I47" i="5"/>
  <c r="I46" i="5"/>
  <c r="I45" i="5"/>
  <c r="I26" i="5"/>
  <c r="I25" i="5"/>
  <c r="I24" i="5"/>
  <c r="I23" i="5"/>
  <c r="I22" i="5"/>
  <c r="I21" i="5"/>
  <c r="I20" i="5"/>
  <c r="I19" i="5"/>
  <c r="I17" i="5"/>
  <c r="I16" i="5"/>
  <c r="I15" i="5"/>
  <c r="I14" i="5"/>
  <c r="I10" i="5"/>
  <c r="I9" i="5"/>
  <c r="H64" i="5"/>
  <c r="H70" i="5"/>
  <c r="H71" i="5"/>
  <c r="H73" i="5"/>
  <c r="H63" i="5"/>
  <c r="H61" i="5"/>
  <c r="H60" i="5"/>
  <c r="H59" i="5"/>
  <c r="H58" i="5"/>
  <c r="H57" i="5"/>
  <c r="H56" i="5"/>
  <c r="H55" i="5"/>
  <c r="H54" i="5"/>
  <c r="H53" i="5"/>
  <c r="H52" i="5"/>
  <c r="H50" i="5"/>
  <c r="H49" i="5"/>
  <c r="H48" i="5"/>
  <c r="H47" i="5"/>
  <c r="H46" i="5"/>
  <c r="H45" i="5"/>
  <c r="H26" i="5"/>
  <c r="H25" i="5"/>
  <c r="H24" i="5"/>
  <c r="H23" i="5"/>
  <c r="H22" i="5"/>
  <c r="H21" i="5"/>
  <c r="H20" i="5"/>
  <c r="H19" i="5"/>
  <c r="H17" i="5"/>
  <c r="H16" i="5"/>
  <c r="H15" i="5"/>
  <c r="H14" i="5"/>
  <c r="H10" i="5"/>
  <c r="H9" i="5"/>
  <c r="H7" i="4"/>
  <c r="H8" i="4"/>
  <c r="H21" i="4"/>
  <c r="H19" i="4"/>
  <c r="D26" i="4"/>
  <c r="G26" i="4" s="1"/>
  <c r="M210" i="4" l="1"/>
  <c r="M190" i="4"/>
  <c r="M174" i="4"/>
  <c r="M134" i="4"/>
  <c r="M186" i="4"/>
  <c r="M178" i="4"/>
  <c r="M142" i="4"/>
  <c r="M202" i="4"/>
  <c r="M198" i="4"/>
  <c r="M182" i="4"/>
  <c r="M166" i="4"/>
  <c r="M162" i="4"/>
  <c r="M154" i="4"/>
  <c r="M150" i="4"/>
  <c r="M146" i="4"/>
  <c r="M138" i="4"/>
  <c r="M206" i="4"/>
  <c r="M194" i="4"/>
  <c r="M130" i="4"/>
  <c r="M203" i="4"/>
  <c r="M187" i="4"/>
  <c r="M171" i="4"/>
  <c r="M155" i="4"/>
  <c r="M139" i="4"/>
  <c r="M123" i="4"/>
  <c r="M107" i="4"/>
  <c r="M91" i="4"/>
  <c r="M75" i="4"/>
  <c r="M59" i="4"/>
  <c r="M43" i="4"/>
  <c r="M211" i="4"/>
  <c r="M183" i="4"/>
  <c r="M175" i="4"/>
  <c r="M147" i="4"/>
  <c r="M126" i="4"/>
  <c r="M119" i="4"/>
  <c r="M111" i="4"/>
  <c r="M98" i="4"/>
  <c r="M90" i="4"/>
  <c r="M83" i="4"/>
  <c r="M62" i="4"/>
  <c r="M55" i="4"/>
  <c r="M47" i="4"/>
  <c r="M34" i="4"/>
  <c r="M118" i="4"/>
  <c r="M102" i="4"/>
  <c r="M86" i="4"/>
  <c r="M70" i="4"/>
  <c r="M54" i="4"/>
  <c r="M38" i="4"/>
  <c r="M195" i="4"/>
  <c r="M167" i="4"/>
  <c r="M159" i="4"/>
  <c r="M131" i="4"/>
  <c r="M110" i="4"/>
  <c r="M103" i="4"/>
  <c r="M95" i="4"/>
  <c r="M82" i="4"/>
  <c r="M74" i="4"/>
  <c r="M67" i="4"/>
  <c r="M46" i="4"/>
  <c r="M177" i="4"/>
  <c r="M161" i="4"/>
  <c r="M145" i="4"/>
  <c r="M129" i="4"/>
  <c r="M113" i="4"/>
  <c r="M97" i="4"/>
  <c r="M81" i="4"/>
  <c r="M65" i="4"/>
  <c r="M49" i="4"/>
  <c r="M33" i="4"/>
  <c r="M200" i="4"/>
  <c r="M184" i="4"/>
  <c r="M180" i="4"/>
  <c r="M176" i="4"/>
  <c r="M172" i="4"/>
  <c r="M168" i="4"/>
  <c r="M164" i="4"/>
  <c r="M160" i="4"/>
  <c r="M156" i="4"/>
  <c r="M152" i="4"/>
  <c r="M148" i="4"/>
  <c r="M144" i="4"/>
  <c r="M140" i="4"/>
  <c r="M136" i="4"/>
  <c r="M132" i="4"/>
  <c r="M128" i="4"/>
  <c r="M124" i="4"/>
  <c r="M120" i="4"/>
  <c r="M116" i="4"/>
  <c r="M112" i="4"/>
  <c r="M108" i="4"/>
  <c r="M104" i="4"/>
  <c r="M100" i="4"/>
  <c r="M96" i="4"/>
  <c r="M92" i="4"/>
  <c r="M88" i="4"/>
  <c r="M84" i="4"/>
  <c r="M80" i="4"/>
  <c r="M76" i="4"/>
  <c r="M72" i="4"/>
  <c r="M68" i="4"/>
  <c r="M64" i="4"/>
  <c r="M60" i="4"/>
  <c r="M56" i="4"/>
  <c r="M52" i="4"/>
  <c r="M48" i="4"/>
  <c r="M44" i="4"/>
  <c r="M40" i="4"/>
  <c r="M36" i="4"/>
  <c r="M32" i="4"/>
  <c r="L39" i="7"/>
  <c r="K34" i="7"/>
  <c r="G53" i="5"/>
  <c r="G54" i="5"/>
  <c r="G55" i="5"/>
  <c r="G56" i="5"/>
  <c r="G57" i="5"/>
  <c r="G58" i="5"/>
  <c r="G59" i="5"/>
  <c r="G60" i="5"/>
  <c r="G61" i="5"/>
  <c r="G63" i="5"/>
  <c r="G64" i="5"/>
  <c r="G70" i="5"/>
  <c r="G71" i="5"/>
  <c r="G73" i="5"/>
  <c r="G52" i="5"/>
  <c r="G46" i="5"/>
  <c r="G47" i="5"/>
  <c r="G48" i="5"/>
  <c r="G49" i="5"/>
  <c r="G50" i="5"/>
  <c r="G45" i="5"/>
  <c r="G20" i="5"/>
  <c r="G21" i="5"/>
  <c r="G22" i="5"/>
  <c r="G23" i="5"/>
  <c r="G24" i="5"/>
  <c r="G25" i="5"/>
  <c r="G26" i="5"/>
  <c r="G19" i="5"/>
  <c r="G15" i="5"/>
  <c r="G16" i="5"/>
  <c r="G17" i="5"/>
  <c r="G14" i="5"/>
  <c r="C10" i="5" l="1"/>
  <c r="G10" i="5" s="1"/>
  <c r="E36" i="7" l="1"/>
  <c r="D36" i="7"/>
  <c r="D33" i="7"/>
  <c r="E31" i="7"/>
  <c r="E37" i="7" s="1"/>
  <c r="D31" i="7"/>
  <c r="K10" i="7"/>
  <c r="L8" i="7"/>
  <c r="K8" i="7"/>
  <c r="E8" i="7"/>
  <c r="E17" i="7"/>
  <c r="D17" i="7"/>
  <c r="D10" i="7"/>
  <c r="D8" i="7"/>
  <c r="K17" i="7" l="1"/>
  <c r="K16" i="7"/>
  <c r="L17" i="7"/>
  <c r="L16" i="7"/>
  <c r="D37" i="7"/>
  <c r="E18" i="7"/>
  <c r="D21" i="7" s="1"/>
  <c r="D34" i="7"/>
  <c r="D40" i="7"/>
  <c r="D18" i="7"/>
  <c r="D11" i="7"/>
  <c r="K11" i="7"/>
  <c r="F17" i="4"/>
  <c r="O6" i="4"/>
  <c r="O7" i="4"/>
  <c r="O8" i="4"/>
  <c r="O9" i="4"/>
  <c r="O12" i="4"/>
  <c r="O13" i="4"/>
  <c r="O14" i="4"/>
  <c r="O15" i="4"/>
  <c r="O17" i="4"/>
  <c r="O19" i="4"/>
  <c r="O21" i="4"/>
  <c r="O23" i="4"/>
  <c r="O24" i="4"/>
  <c r="O26" i="4"/>
  <c r="O27" i="4"/>
  <c r="O28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5" i="4"/>
  <c r="J28" i="5"/>
  <c r="J29" i="5"/>
  <c r="J30" i="5"/>
  <c r="J31" i="5"/>
  <c r="J32" i="5"/>
  <c r="J33" i="5"/>
  <c r="J34" i="5"/>
  <c r="J35" i="5"/>
  <c r="J36" i="5"/>
  <c r="J37" i="5"/>
  <c r="J39" i="5"/>
  <c r="J40" i="5"/>
  <c r="J41" i="5"/>
  <c r="J42" i="5"/>
  <c r="J43" i="5"/>
  <c r="J45" i="5"/>
  <c r="J46" i="5"/>
  <c r="J47" i="5"/>
  <c r="J48" i="5"/>
  <c r="J49" i="5"/>
  <c r="J50" i="5"/>
  <c r="J52" i="5"/>
  <c r="J53" i="5"/>
  <c r="J54" i="5"/>
  <c r="J55" i="5"/>
  <c r="J56" i="5"/>
  <c r="J57" i="5"/>
  <c r="J58" i="5"/>
  <c r="J59" i="5"/>
  <c r="J60" i="5"/>
  <c r="J61" i="5"/>
  <c r="J63" i="5"/>
  <c r="J64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19" i="5"/>
  <c r="J20" i="5"/>
  <c r="J21" i="5"/>
  <c r="J22" i="5"/>
  <c r="J23" i="5"/>
  <c r="J24" i="5"/>
  <c r="J25" i="5"/>
  <c r="J26" i="5"/>
  <c r="J14" i="5"/>
  <c r="J15" i="5"/>
  <c r="J16" i="5"/>
  <c r="J17" i="5"/>
  <c r="J9" i="5"/>
  <c r="J10" i="5"/>
  <c r="J11" i="5"/>
  <c r="J12" i="5"/>
  <c r="F10" i="4"/>
  <c r="F9" i="4"/>
  <c r="K20" i="7" l="1"/>
  <c r="K19" i="7"/>
  <c r="D20" i="7"/>
  <c r="H10" i="4"/>
  <c r="H17" i="4"/>
  <c r="H9" i="4"/>
  <c r="D39" i="7"/>
  <c r="F11" i="5"/>
  <c r="F12" i="5"/>
  <c r="F28" i="5"/>
  <c r="F29" i="5"/>
  <c r="F30" i="5"/>
  <c r="F31" i="5"/>
  <c r="F32" i="5"/>
  <c r="F33" i="5"/>
  <c r="F34" i="5"/>
  <c r="F35" i="5"/>
  <c r="F36" i="5"/>
  <c r="F37" i="5"/>
  <c r="F39" i="5"/>
  <c r="F40" i="5"/>
  <c r="F41" i="5"/>
  <c r="F42" i="5"/>
  <c r="F43" i="5"/>
  <c r="F66" i="5"/>
  <c r="F67" i="5"/>
  <c r="F68" i="5"/>
  <c r="F69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8" i="5"/>
  <c r="H8" i="5" s="1"/>
  <c r="F7" i="5"/>
  <c r="H7" i="5" s="1"/>
  <c r="B9" i="5"/>
  <c r="G9" i="5" s="1"/>
  <c r="G182" i="5" l="1"/>
  <c r="G150" i="5"/>
  <c r="G126" i="5"/>
  <c r="G86" i="5"/>
  <c r="G210" i="5"/>
  <c r="G186" i="5"/>
  <c r="G154" i="5"/>
  <c r="G122" i="5"/>
  <c r="G98" i="5"/>
  <c r="G40" i="5"/>
  <c r="I40" i="5"/>
  <c r="H40" i="5"/>
  <c r="G208" i="5"/>
  <c r="G200" i="5"/>
  <c r="G192" i="5"/>
  <c r="G184" i="5"/>
  <c r="G176" i="5"/>
  <c r="G168" i="5"/>
  <c r="G160" i="5"/>
  <c r="G152" i="5"/>
  <c r="G144" i="5"/>
  <c r="G136" i="5"/>
  <c r="G128" i="5"/>
  <c r="G120" i="5"/>
  <c r="G112" i="5"/>
  <c r="G104" i="5"/>
  <c r="G96" i="5"/>
  <c r="G88" i="5"/>
  <c r="G80" i="5"/>
  <c r="G37" i="5"/>
  <c r="I37" i="5"/>
  <c r="H37" i="5"/>
  <c r="G29" i="5"/>
  <c r="I29" i="5"/>
  <c r="H29" i="5"/>
  <c r="G190" i="5"/>
  <c r="G142" i="5"/>
  <c r="G102" i="5"/>
  <c r="G194" i="5"/>
  <c r="G170" i="5"/>
  <c r="G138" i="5"/>
  <c r="G82" i="5"/>
  <c r="G207" i="5"/>
  <c r="G199" i="5"/>
  <c r="G191" i="5"/>
  <c r="G183" i="5"/>
  <c r="G175" i="5"/>
  <c r="G167" i="5"/>
  <c r="G159" i="5"/>
  <c r="G151" i="5"/>
  <c r="G143" i="5"/>
  <c r="G135" i="5"/>
  <c r="G127" i="5"/>
  <c r="G119" i="5"/>
  <c r="G111" i="5"/>
  <c r="G103" i="5"/>
  <c r="G95" i="5"/>
  <c r="G87" i="5"/>
  <c r="G79" i="5"/>
  <c r="G36" i="5"/>
  <c r="I36" i="5"/>
  <c r="H36" i="5"/>
  <c r="G28" i="5"/>
  <c r="I28" i="5"/>
  <c r="H28" i="5"/>
  <c r="G205" i="5"/>
  <c r="G189" i="5"/>
  <c r="G173" i="5"/>
  <c r="G157" i="5"/>
  <c r="G141" i="5"/>
  <c r="G125" i="5"/>
  <c r="G109" i="5"/>
  <c r="G93" i="5"/>
  <c r="G77" i="5"/>
  <c r="G212" i="5"/>
  <c r="G204" i="5"/>
  <c r="G196" i="5"/>
  <c r="G188" i="5"/>
  <c r="G180" i="5"/>
  <c r="G172" i="5"/>
  <c r="G164" i="5"/>
  <c r="G156" i="5"/>
  <c r="G148" i="5"/>
  <c r="G140" i="5"/>
  <c r="G132" i="5"/>
  <c r="G124" i="5"/>
  <c r="G116" i="5"/>
  <c r="G108" i="5"/>
  <c r="G100" i="5"/>
  <c r="G92" i="5"/>
  <c r="G84" i="5"/>
  <c r="G76" i="5"/>
  <c r="G42" i="5"/>
  <c r="I42" i="5"/>
  <c r="H42" i="5"/>
  <c r="G33" i="5"/>
  <c r="I33" i="5"/>
  <c r="H33" i="5"/>
  <c r="G198" i="5"/>
  <c r="G166" i="5"/>
  <c r="G134" i="5"/>
  <c r="G110" i="5"/>
  <c r="G94" i="5"/>
  <c r="G78" i="5"/>
  <c r="G12" i="5"/>
  <c r="I12" i="5"/>
  <c r="H12" i="5"/>
  <c r="G213" i="5"/>
  <c r="G197" i="5"/>
  <c r="G181" i="5"/>
  <c r="G165" i="5"/>
  <c r="G149" i="5"/>
  <c r="G133" i="5"/>
  <c r="G117" i="5"/>
  <c r="G101" i="5"/>
  <c r="G85" i="5"/>
  <c r="G43" i="5"/>
  <c r="I43" i="5"/>
  <c r="H43" i="5"/>
  <c r="G34" i="5"/>
  <c r="I34" i="5"/>
  <c r="H34" i="5"/>
  <c r="G11" i="5"/>
  <c r="I11" i="5"/>
  <c r="H11" i="5"/>
  <c r="G211" i="5"/>
  <c r="G203" i="5"/>
  <c r="G195" i="5"/>
  <c r="G187" i="5"/>
  <c r="G179" i="5"/>
  <c r="G171" i="5"/>
  <c r="G163" i="5"/>
  <c r="G155" i="5"/>
  <c r="G147" i="5"/>
  <c r="G139" i="5"/>
  <c r="G131" i="5"/>
  <c r="G123" i="5"/>
  <c r="G115" i="5"/>
  <c r="G107" i="5"/>
  <c r="G99" i="5"/>
  <c r="G91" i="5"/>
  <c r="G83" i="5"/>
  <c r="G75" i="5"/>
  <c r="G41" i="5"/>
  <c r="I41" i="5"/>
  <c r="H41" i="5"/>
  <c r="G32" i="5"/>
  <c r="I32" i="5"/>
  <c r="H32" i="5"/>
  <c r="G206" i="5"/>
  <c r="G174" i="5"/>
  <c r="G158" i="5"/>
  <c r="G118" i="5"/>
  <c r="G35" i="5"/>
  <c r="I35" i="5"/>
  <c r="H35" i="5"/>
  <c r="G202" i="5"/>
  <c r="G178" i="5"/>
  <c r="G162" i="5"/>
  <c r="G146" i="5"/>
  <c r="G130" i="5"/>
  <c r="G114" i="5"/>
  <c r="G106" i="5"/>
  <c r="G90" i="5"/>
  <c r="G74" i="5"/>
  <c r="G31" i="5"/>
  <c r="I31" i="5"/>
  <c r="H31" i="5"/>
  <c r="G209" i="5"/>
  <c r="G201" i="5"/>
  <c r="G193" i="5"/>
  <c r="G185" i="5"/>
  <c r="G177" i="5"/>
  <c r="G169" i="5"/>
  <c r="G161" i="5"/>
  <c r="G153" i="5"/>
  <c r="G145" i="5"/>
  <c r="G137" i="5"/>
  <c r="G129" i="5"/>
  <c r="G121" i="5"/>
  <c r="G113" i="5"/>
  <c r="G105" i="5"/>
  <c r="G97" i="5"/>
  <c r="G89" i="5"/>
  <c r="G81" i="5"/>
  <c r="G39" i="5"/>
  <c r="I39" i="5"/>
  <c r="H39" i="5"/>
  <c r="G30" i="5"/>
  <c r="I30" i="5"/>
  <c r="H30" i="5"/>
  <c r="I72" i="5"/>
  <c r="H72" i="5"/>
  <c r="G72" i="5"/>
  <c r="I69" i="5"/>
  <c r="H69" i="5"/>
  <c r="G69" i="5"/>
  <c r="I68" i="5"/>
  <c r="H68" i="5"/>
  <c r="G68" i="5"/>
  <c r="H67" i="5"/>
  <c r="I67" i="5"/>
  <c r="G67" i="5"/>
  <c r="H66" i="5"/>
  <c r="I66" i="5"/>
  <c r="G66" i="5"/>
  <c r="G8" i="5"/>
  <c r="G7" i="5"/>
  <c r="F6" i="4"/>
  <c r="G6" i="4" s="1"/>
  <c r="F12" i="4"/>
  <c r="F13" i="4"/>
  <c r="F14" i="4"/>
  <c r="F15" i="4"/>
  <c r="F23" i="4"/>
  <c r="F24" i="4"/>
  <c r="F26" i="4"/>
  <c r="F27" i="4"/>
  <c r="F28" i="4"/>
  <c r="F30" i="4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G207" i="4" s="1"/>
  <c r="F208" i="4"/>
  <c r="G208" i="4" s="1"/>
  <c r="F209" i="4"/>
  <c r="G209" i="4" s="1"/>
  <c r="F210" i="4"/>
  <c r="G210" i="4" s="1"/>
  <c r="F211" i="4"/>
  <c r="G211" i="4" s="1"/>
  <c r="F5" i="4"/>
  <c r="G5" i="4" s="1"/>
  <c r="H27" i="4" l="1"/>
  <c r="H26" i="4"/>
  <c r="H12" i="4"/>
  <c r="H24" i="4"/>
  <c r="H23" i="4"/>
  <c r="H15" i="4"/>
  <c r="H14" i="4"/>
  <c r="H13" i="4"/>
  <c r="H28" i="4"/>
  <c r="H30" i="4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5" i="2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5" i="2" l="1"/>
  <c r="G5" i="2" s="1"/>
</calcChain>
</file>

<file path=xl/sharedStrings.xml><?xml version="1.0" encoding="utf-8"?>
<sst xmlns="http://schemas.openxmlformats.org/spreadsheetml/2006/main" count="547" uniqueCount="240">
  <si>
    <t>합격여부</t>
    <phoneticPr fontId="1" type="noConversion"/>
  </si>
  <si>
    <t>예시2</t>
    <phoneticPr fontId="1" type="noConversion"/>
  </si>
  <si>
    <t>예시1</t>
    <phoneticPr fontId="1" type="noConversion"/>
  </si>
  <si>
    <t>A(공칭두께)</t>
    <phoneticPr fontId="1" type="noConversion"/>
  </si>
  <si>
    <t>B(측정최소두께)</t>
    <phoneticPr fontId="1" type="noConversion"/>
  </si>
  <si>
    <t>Y(측정관 사용연수)</t>
    <phoneticPr fontId="1" type="noConversion"/>
  </si>
  <si>
    <t xml:space="preserve">(최대침식도)    </t>
    <phoneticPr fontId="1" type="noConversion"/>
  </si>
  <si>
    <t>N(추정잔존수명)</t>
    <phoneticPr fontId="1" type="noConversion"/>
  </si>
  <si>
    <t>=&gt; 입력해야하는 값</t>
    <phoneticPr fontId="1" type="noConversion"/>
  </si>
  <si>
    <t>사진 값</t>
    <phoneticPr fontId="1" type="noConversion"/>
  </si>
  <si>
    <t>표 값</t>
    <phoneticPr fontId="1" type="noConversion"/>
  </si>
  <si>
    <t>경과년수</t>
    <phoneticPr fontId="1" type="noConversion"/>
  </si>
  <si>
    <t>최대 침식율[%]</t>
    <phoneticPr fontId="1" type="noConversion"/>
  </si>
  <si>
    <t>측정 유량값(㎥/h)</t>
    <phoneticPr fontId="1" type="noConversion"/>
  </si>
  <si>
    <t>설계 유량값(LPM)</t>
    <phoneticPr fontId="1" type="noConversion"/>
  </si>
  <si>
    <t/>
  </si>
  <si>
    <t>측정 전력(kW)</t>
    <phoneticPr fontId="1" type="noConversion"/>
  </si>
  <si>
    <t>설계 전력(kW)</t>
    <phoneticPr fontId="1" type="noConversion"/>
  </si>
  <si>
    <t>설계 유량값(㎥/h)</t>
    <phoneticPr fontId="1" type="noConversion"/>
  </si>
  <si>
    <t>=&gt; 입력해야하는 값(유량값이 ㎥/h로 되어있다면 ㎥/h에 해당하는 란에 바로 입력할 것!)</t>
    <phoneticPr fontId="1" type="noConversion"/>
  </si>
  <si>
    <t>전력 대비 설계 유량값</t>
    <phoneticPr fontId="1" type="noConversion"/>
  </si>
  <si>
    <t>1LPM = 0.001㎥/min</t>
    <phoneticPr fontId="1" type="noConversion"/>
  </si>
  <si>
    <t>남도학숙</t>
    <phoneticPr fontId="1" type="noConversion"/>
  </si>
  <si>
    <t>-</t>
    <phoneticPr fontId="1" type="noConversion"/>
  </si>
  <si>
    <t>그랑비스타</t>
    <phoneticPr fontId="1" type="noConversion"/>
  </si>
  <si>
    <t>설계 풍량값(CMH)</t>
    <phoneticPr fontId="1" type="noConversion"/>
  </si>
  <si>
    <t>설계 풍량값(CMM)</t>
    <phoneticPr fontId="1" type="noConversion"/>
  </si>
  <si>
    <t>다산헤리움 그랑비스타1차</t>
    <phoneticPr fontId="1" type="noConversion"/>
  </si>
  <si>
    <t>합격여부 설계값 대비 ±10%로 설정</t>
    <phoneticPr fontId="1" type="noConversion"/>
  </si>
  <si>
    <t>동탄금강펜테리움센트럴파크4차</t>
    <phoneticPr fontId="1" type="noConversion"/>
  </si>
  <si>
    <t>연원마을 벽산아파트</t>
    <phoneticPr fontId="1" type="noConversion"/>
  </si>
  <si>
    <t>HP-1-#1</t>
    <phoneticPr fontId="1" type="noConversion"/>
  </si>
  <si>
    <t>HP-1-#2</t>
    <phoneticPr fontId="1" type="noConversion"/>
  </si>
  <si>
    <t>HP-2-#2</t>
    <phoneticPr fontId="1" type="noConversion"/>
  </si>
  <si>
    <t>HP-2-#1</t>
    <phoneticPr fontId="1" type="noConversion"/>
  </si>
  <si>
    <t>F-9-#1</t>
    <phoneticPr fontId="1" type="noConversion"/>
  </si>
  <si>
    <t>F-9-#2</t>
    <phoneticPr fontId="1" type="noConversion"/>
  </si>
  <si>
    <t>F-9-#3</t>
    <phoneticPr fontId="1" type="noConversion"/>
  </si>
  <si>
    <t>F-13-#1</t>
    <phoneticPr fontId="1" type="noConversion"/>
  </si>
  <si>
    <t>미사하우스디엘타워</t>
    <phoneticPr fontId="1" type="noConversion"/>
  </si>
  <si>
    <t>OF-1-#2</t>
    <phoneticPr fontId="1" type="noConversion"/>
  </si>
  <si>
    <t>OF-1-#1</t>
    <phoneticPr fontId="1" type="noConversion"/>
  </si>
  <si>
    <t>OF-2-#1</t>
    <phoneticPr fontId="1" type="noConversion"/>
  </si>
  <si>
    <t>OF-2-#2</t>
    <phoneticPr fontId="1" type="noConversion"/>
  </si>
  <si>
    <t>OF-3-#1</t>
    <phoneticPr fontId="1" type="noConversion"/>
  </si>
  <si>
    <t>OF-3-#2</t>
    <phoneticPr fontId="1" type="noConversion"/>
  </si>
  <si>
    <t>OF-4-#1</t>
    <phoneticPr fontId="1" type="noConversion"/>
  </si>
  <si>
    <t>OF-4-#2</t>
    <phoneticPr fontId="1" type="noConversion"/>
  </si>
  <si>
    <t>P-5-#3</t>
    <phoneticPr fontId="1" type="noConversion"/>
  </si>
  <si>
    <t>흡수식 냉온수기(중온수)</t>
    <phoneticPr fontId="1" type="noConversion"/>
  </si>
  <si>
    <t>입구온도</t>
    <phoneticPr fontId="1" type="noConversion"/>
  </si>
  <si>
    <t>출구온도</t>
    <phoneticPr fontId="1" type="noConversion"/>
  </si>
  <si>
    <t>℃</t>
  </si>
  <si>
    <t>℃</t>
    <phoneticPr fontId="1" type="noConversion"/>
  </si>
  <si>
    <t>㎥/h</t>
  </si>
  <si>
    <t>㎥/h</t>
    <phoneticPr fontId="1" type="noConversion"/>
  </si>
  <si>
    <t>kcal/kg ℃</t>
    <phoneticPr fontId="1" type="noConversion"/>
  </si>
  <si>
    <t>냉
수</t>
    <phoneticPr fontId="1" type="noConversion"/>
  </si>
  <si>
    <t>측정값</t>
    <phoneticPr fontId="1" type="noConversion"/>
  </si>
  <si>
    <t>비고</t>
    <phoneticPr fontId="1" type="noConversion"/>
  </si>
  <si>
    <t>단위</t>
    <phoneticPr fontId="1" type="noConversion"/>
  </si>
  <si>
    <t>항목</t>
    <phoneticPr fontId="1" type="noConversion"/>
  </si>
  <si>
    <t>유      량</t>
    <phoneticPr fontId="1" type="noConversion"/>
  </si>
  <si>
    <t>비      열</t>
    <phoneticPr fontId="1" type="noConversion"/>
  </si>
  <si>
    <t>밀      도</t>
    <phoneticPr fontId="1" type="noConversion"/>
  </si>
  <si>
    <t>kg/㎥</t>
    <phoneticPr fontId="1" type="noConversion"/>
  </si>
  <si>
    <t>kcal/h</t>
    <phoneticPr fontId="1" type="noConversion"/>
  </si>
  <si>
    <t xml:space="preserve">   냉동기 출력 에너지</t>
    <phoneticPr fontId="1" type="noConversion"/>
  </si>
  <si>
    <t>설계값</t>
    <phoneticPr fontId="1" type="noConversion"/>
  </si>
  <si>
    <t>USRT</t>
    <phoneticPr fontId="1" type="noConversion"/>
  </si>
  <si>
    <t>부하율</t>
    <phoneticPr fontId="1" type="noConversion"/>
  </si>
  <si>
    <t>%</t>
    <phoneticPr fontId="1" type="noConversion"/>
  </si>
  <si>
    <t xml:space="preserve">   냉동기 입력 에너지</t>
    <phoneticPr fontId="1" type="noConversion"/>
  </si>
  <si>
    <t>중
온
수</t>
    <phoneticPr fontId="1" type="noConversion"/>
  </si>
  <si>
    <t>COP</t>
    <phoneticPr fontId="1" type="noConversion"/>
  </si>
  <si>
    <t>설계 대비 COP</t>
    <phoneticPr fontId="1" type="noConversion"/>
  </si>
  <si>
    <t>2022년 측정 COP</t>
    <phoneticPr fontId="1" type="noConversion"/>
  </si>
  <si>
    <t>직전년도 대비 COP</t>
    <phoneticPr fontId="1" type="noConversion"/>
  </si>
  <si>
    <t>가
스</t>
    <phoneticPr fontId="1" type="noConversion"/>
  </si>
  <si>
    <t>kcal/N㎥</t>
    <phoneticPr fontId="1" type="noConversion"/>
  </si>
  <si>
    <t xml:space="preserve"> 도시가스저위발열량</t>
    <phoneticPr fontId="1" type="noConversion"/>
  </si>
  <si>
    <t xml:space="preserve">       냉동기 입력 에너지</t>
    <phoneticPr fontId="1" type="noConversion"/>
  </si>
  <si>
    <t>N㎥/h</t>
    <phoneticPr fontId="1" type="noConversion"/>
  </si>
  <si>
    <t xml:space="preserve"> 도시가스고위발열량</t>
    <phoneticPr fontId="1" type="noConversion"/>
  </si>
  <si>
    <t>COP(HHV)</t>
    <phoneticPr fontId="1" type="noConversion"/>
  </si>
  <si>
    <t>COP(LHV)</t>
    <phoneticPr fontId="1" type="noConversion"/>
  </si>
  <si>
    <t xml:space="preserve">          냉동기 출력 에너지</t>
    <phoneticPr fontId="1" type="noConversion"/>
  </si>
  <si>
    <t>고위발열량 기준</t>
    <phoneticPr fontId="1" type="noConversion"/>
  </si>
  <si>
    <t>저위발열량 기준</t>
    <phoneticPr fontId="1" type="noConversion"/>
  </si>
  <si>
    <t>터보냉동기</t>
    <phoneticPr fontId="1" type="noConversion"/>
  </si>
  <si>
    <t>냉동능력(정격)</t>
    <phoneticPr fontId="1" type="noConversion"/>
  </si>
  <si>
    <t>kW</t>
    <phoneticPr fontId="1" type="noConversion"/>
  </si>
  <si>
    <t>압축기 동력</t>
    <phoneticPr fontId="1" type="noConversion"/>
  </si>
  <si>
    <t>신촌그랑자이</t>
    <phoneticPr fontId="1" type="noConversion"/>
  </si>
  <si>
    <t>HV1-급기</t>
    <phoneticPr fontId="1" type="noConversion"/>
  </si>
  <si>
    <t>HV1-환기</t>
    <phoneticPr fontId="1" type="noConversion"/>
  </si>
  <si>
    <t>F-1-#1</t>
    <phoneticPr fontId="1" type="noConversion"/>
  </si>
  <si>
    <t>F-1-#2</t>
    <phoneticPr fontId="1" type="noConversion"/>
  </si>
  <si>
    <t>F-1-#3</t>
    <phoneticPr fontId="1" type="noConversion"/>
  </si>
  <si>
    <t>F-1-#4</t>
    <phoneticPr fontId="1" type="noConversion"/>
  </si>
  <si>
    <t>F-1-#5</t>
    <phoneticPr fontId="1" type="noConversion"/>
  </si>
  <si>
    <t>F-1-#6</t>
    <phoneticPr fontId="1" type="noConversion"/>
  </si>
  <si>
    <t>F-1-#7</t>
    <phoneticPr fontId="1" type="noConversion"/>
  </si>
  <si>
    <t>F-1-#8</t>
    <phoneticPr fontId="1" type="noConversion"/>
  </si>
  <si>
    <t>CE-1</t>
    <phoneticPr fontId="1" type="noConversion"/>
  </si>
  <si>
    <t>EF-4-#1</t>
    <phoneticPr fontId="1" type="noConversion"/>
  </si>
  <si>
    <t>EF-4-#2</t>
    <phoneticPr fontId="1" type="noConversion"/>
  </si>
  <si>
    <t>SF-5</t>
    <phoneticPr fontId="1" type="noConversion"/>
  </si>
  <si>
    <t>을지대학교 성남캠퍼스(지천관, 범석관)</t>
    <phoneticPr fontId="1" type="noConversion"/>
  </si>
  <si>
    <t>AHU-1-환기</t>
    <phoneticPr fontId="1" type="noConversion"/>
  </si>
  <si>
    <t>성능</t>
    <phoneticPr fontId="1" type="noConversion"/>
  </si>
  <si>
    <t>측정 점검 방식에 문제가 있어 결과값에 대한 신뢰도가 낮음</t>
    <phoneticPr fontId="1" type="noConversion"/>
  </si>
  <si>
    <t>을지대학교 성남캠퍼스(뉴센터, 인애학사)</t>
    <phoneticPr fontId="1" type="noConversion"/>
  </si>
  <si>
    <t>EF-3-#1</t>
    <phoneticPr fontId="1" type="noConversion"/>
  </si>
  <si>
    <t>SF-3-#1</t>
    <phoneticPr fontId="1" type="noConversion"/>
  </si>
  <si>
    <t>SF-3-#2</t>
    <phoneticPr fontId="1" type="noConversion"/>
  </si>
  <si>
    <t>EF-3-#2</t>
    <phoneticPr fontId="1" type="noConversion"/>
  </si>
  <si>
    <t>HV-2-급기</t>
    <phoneticPr fontId="1" type="noConversion"/>
  </si>
  <si>
    <t>HV-2-환기</t>
    <phoneticPr fontId="1" type="noConversion"/>
  </si>
  <si>
    <t>측정값이 조금 높게 나옴-&gt;측정방식에 조금 문제가 있었음</t>
    <phoneticPr fontId="1" type="noConversion"/>
  </si>
  <si>
    <t>P-2-#1</t>
    <phoneticPr fontId="1" type="noConversion"/>
  </si>
  <si>
    <t>설비명</t>
    <phoneticPr fontId="1" type="noConversion"/>
  </si>
  <si>
    <t>설계 양정(m)</t>
    <phoneticPr fontId="1" type="noConversion"/>
  </si>
  <si>
    <t>측정 양정(m)</t>
    <phoneticPr fontId="1" type="noConversion"/>
  </si>
  <si>
    <t>양정이 설계값보다 높기 때문에 유량이 조금 떨어질 수 있다.</t>
    <phoneticPr fontId="1" type="noConversion"/>
  </si>
  <si>
    <t>마곡보타닉파크타워2차</t>
    <phoneticPr fontId="1" type="noConversion"/>
  </si>
  <si>
    <t>P-3-#1</t>
    <phoneticPr fontId="1" type="noConversion"/>
  </si>
  <si>
    <t>KGIT센터</t>
    <phoneticPr fontId="1" type="noConversion"/>
  </si>
  <si>
    <t>F-21</t>
    <phoneticPr fontId="1" type="noConversion"/>
  </si>
  <si>
    <t>F-22</t>
    <phoneticPr fontId="1" type="noConversion"/>
  </si>
  <si>
    <t>F-27</t>
    <phoneticPr fontId="1" type="noConversion"/>
  </si>
  <si>
    <t>F-28</t>
    <phoneticPr fontId="1" type="noConversion"/>
  </si>
  <si>
    <t>F-29</t>
    <phoneticPr fontId="1" type="noConversion"/>
  </si>
  <si>
    <t>F-32</t>
    <phoneticPr fontId="1" type="noConversion"/>
  </si>
  <si>
    <t>F-33</t>
    <phoneticPr fontId="1" type="noConversion"/>
  </si>
  <si>
    <t>F-37</t>
    <phoneticPr fontId="1" type="noConversion"/>
  </si>
  <si>
    <t>F-38</t>
    <phoneticPr fontId="1" type="noConversion"/>
  </si>
  <si>
    <t>F-39</t>
    <phoneticPr fontId="1" type="noConversion"/>
  </si>
  <si>
    <t>벨트 손상 및 이탈로 인해 풍량 측정불가</t>
    <phoneticPr fontId="1" type="noConversion"/>
  </si>
  <si>
    <t>신내4단지</t>
    <phoneticPr fontId="1" type="noConversion"/>
  </si>
  <si>
    <t>측정오류가 의심이 됨</t>
    <phoneticPr fontId="1" type="noConversion"/>
  </si>
  <si>
    <t>CHU-4-난방A펌프</t>
    <phoneticPr fontId="1" type="noConversion"/>
  </si>
  <si>
    <t>CHU-4-난방예비펌프</t>
    <phoneticPr fontId="1" type="noConversion"/>
  </si>
  <si>
    <t>정격전류보다 조금 높게 측정되었음</t>
    <phoneticPr fontId="1" type="noConversion"/>
  </si>
  <si>
    <t>정격전류보다 높게 측정되었고 유량은 적었음</t>
    <phoneticPr fontId="1" type="noConversion"/>
  </si>
  <si>
    <t>HP-21-예비</t>
    <phoneticPr fontId="1" type="noConversion"/>
  </si>
  <si>
    <t>HP-21-주</t>
    <phoneticPr fontId="1" type="noConversion"/>
  </si>
  <si>
    <t>HP-22-주</t>
    <phoneticPr fontId="1" type="noConversion"/>
  </si>
  <si>
    <t>온수</t>
    <phoneticPr fontId="1" type="noConversion"/>
  </si>
  <si>
    <t>난방능력(정격)</t>
    <phoneticPr fontId="1" type="noConversion"/>
  </si>
  <si>
    <t>#1</t>
    <phoneticPr fontId="1" type="noConversion"/>
  </si>
  <si>
    <t>#2</t>
    <phoneticPr fontId="1" type="noConversion"/>
  </si>
  <si>
    <t>유량 미달</t>
    <phoneticPr fontId="1" type="noConversion"/>
  </si>
  <si>
    <t>수송스퀘어</t>
    <phoneticPr fontId="1" type="noConversion"/>
  </si>
  <si>
    <t>P-2-1호기</t>
    <phoneticPr fontId="1" type="noConversion"/>
  </si>
  <si>
    <t>측정 양정이 설계 양정보다 낮아 유량이 조금 더 유입된 것으로 보임.</t>
    <phoneticPr fontId="1" type="noConversion"/>
  </si>
  <si>
    <t>AHU-6-RA</t>
    <phoneticPr fontId="1" type="noConversion"/>
  </si>
  <si>
    <t>측정 풍량값(CMM)</t>
    <phoneticPr fontId="1" type="noConversion"/>
  </si>
  <si>
    <t>AHU-7-RA</t>
    <phoneticPr fontId="1" type="noConversion"/>
  </si>
  <si>
    <t>AHU-8-RA</t>
    <phoneticPr fontId="1" type="noConversion"/>
  </si>
  <si>
    <t>AHU-9-RA</t>
    <phoneticPr fontId="1" type="noConversion"/>
  </si>
  <si>
    <t>공조기 댐퍼의 개도율 영향인지 풍량값이 설계값과 일치하지 않음</t>
    <phoneticPr fontId="1" type="noConversion"/>
  </si>
  <si>
    <t>F-6-1</t>
    <phoneticPr fontId="1" type="noConversion"/>
  </si>
  <si>
    <t>일부 댐퍼가 열리지 않고 있으며 풀리의 노후화와 
휀 내부의 먼지 등의 이물질로 인해 풍량이 안나온 것으로 판단됨.</t>
    <phoneticPr fontId="1" type="noConversion"/>
  </si>
  <si>
    <t>F-7-1</t>
    <phoneticPr fontId="1" type="noConversion"/>
  </si>
  <si>
    <t>풀리의 노후화와 
휀 내부의 먼지 등의 이물질로 인해 풍량이 안나온 것으로 판단됨.</t>
    <phoneticPr fontId="1" type="noConversion"/>
  </si>
  <si>
    <t>F-8</t>
    <phoneticPr fontId="1" type="noConversion"/>
  </si>
  <si>
    <t>F-8-1</t>
    <phoneticPr fontId="1" type="noConversion"/>
  </si>
  <si>
    <t>구분</t>
    <phoneticPr fontId="1" type="noConversion"/>
  </si>
  <si>
    <t>측정항목</t>
    <phoneticPr fontId="1" type="noConversion"/>
  </si>
  <si>
    <t>기호</t>
    <phoneticPr fontId="1" type="noConversion"/>
  </si>
  <si>
    <t>1호기</t>
    <phoneticPr fontId="1" type="noConversion"/>
  </si>
  <si>
    <t>연
료</t>
    <phoneticPr fontId="1" type="noConversion"/>
  </si>
  <si>
    <t>급
수</t>
    <phoneticPr fontId="1" type="noConversion"/>
  </si>
  <si>
    <t>증
기</t>
    <phoneticPr fontId="1" type="noConversion"/>
  </si>
  <si>
    <t>연
소
공
기</t>
    <phoneticPr fontId="1" type="noConversion"/>
  </si>
  <si>
    <t>외기온도(건구)</t>
    <phoneticPr fontId="1" type="noConversion"/>
  </si>
  <si>
    <t>실내온도(건구)</t>
    <phoneticPr fontId="1" type="noConversion"/>
  </si>
  <si>
    <t>배
기
가
스</t>
    <phoneticPr fontId="1" type="noConversion"/>
  </si>
  <si>
    <t>연   료   명</t>
    <phoneticPr fontId="1" type="noConversion"/>
  </si>
  <si>
    <t>사   용   량</t>
    <phoneticPr fontId="1" type="noConversion"/>
  </si>
  <si>
    <t>연료공급온도</t>
    <phoneticPr fontId="1" type="noConversion"/>
  </si>
  <si>
    <t>연료공급압력</t>
    <phoneticPr fontId="1" type="noConversion"/>
  </si>
  <si>
    <t>연료발열량</t>
    <phoneticPr fontId="1" type="noConversion"/>
  </si>
  <si>
    <t>급수량</t>
    <phoneticPr fontId="1" type="noConversion"/>
  </si>
  <si>
    <t>폐열회수전단온도</t>
    <phoneticPr fontId="1" type="noConversion"/>
  </si>
  <si>
    <t>증   발   량</t>
    <phoneticPr fontId="1" type="noConversion"/>
  </si>
  <si>
    <t>드럼압력</t>
    <phoneticPr fontId="1" type="noConversion"/>
  </si>
  <si>
    <t>A/H 입구온도</t>
    <phoneticPr fontId="1" type="noConversion"/>
  </si>
  <si>
    <t>A/H 출구온도</t>
    <phoneticPr fontId="1" type="noConversion"/>
  </si>
  <si>
    <t>버너입구온도</t>
    <phoneticPr fontId="1" type="noConversion"/>
  </si>
  <si>
    <t>온도</t>
    <phoneticPr fontId="1" type="noConversion"/>
  </si>
  <si>
    <t>성
분</t>
    <phoneticPr fontId="1" type="noConversion"/>
  </si>
  <si>
    <t>보일러출구</t>
    <phoneticPr fontId="1" type="noConversion"/>
  </si>
  <si>
    <t>이론연소공기량</t>
    <phoneticPr fontId="1" type="noConversion"/>
  </si>
  <si>
    <t>이론연소가스량</t>
    <phoneticPr fontId="1" type="noConversion"/>
  </si>
  <si>
    <t>증기건도</t>
    <phoneticPr fontId="1" type="noConversion"/>
  </si>
  <si>
    <t>보일러 1호기 측정치</t>
    <phoneticPr fontId="1" type="noConversion"/>
  </si>
  <si>
    <t>보일러 1호기 열정산표</t>
    <phoneticPr fontId="1" type="noConversion"/>
  </si>
  <si>
    <t>NO</t>
    <phoneticPr fontId="1" type="noConversion"/>
  </si>
  <si>
    <t>입  열</t>
    <phoneticPr fontId="1" type="noConversion"/>
  </si>
  <si>
    <t>출  열</t>
    <phoneticPr fontId="1" type="noConversion"/>
  </si>
  <si>
    <t>항  목</t>
    <phoneticPr fontId="1" type="noConversion"/>
  </si>
  <si>
    <t>연료의 발열량</t>
    <phoneticPr fontId="1" type="noConversion"/>
  </si>
  <si>
    <t>연료의 현열</t>
    <phoneticPr fontId="1" type="noConversion"/>
  </si>
  <si>
    <t>공기의 현열</t>
    <phoneticPr fontId="1" type="noConversion"/>
  </si>
  <si>
    <t>증기의 흡수열</t>
    <phoneticPr fontId="1" type="noConversion"/>
  </si>
  <si>
    <t>배기가스 손실열</t>
    <phoneticPr fontId="1" type="noConversion"/>
  </si>
  <si>
    <t>불완전 연소에 의한 열손실</t>
    <phoneticPr fontId="1" type="noConversion"/>
  </si>
  <si>
    <t>방열, 전열 및 기타 열손실</t>
    <phoneticPr fontId="1" type="noConversion"/>
  </si>
  <si>
    <t>합  계</t>
    <phoneticPr fontId="1" type="noConversion"/>
  </si>
  <si>
    <t>기  호</t>
    <phoneticPr fontId="1" type="noConversion"/>
  </si>
  <si>
    <t>단  위</t>
    <phoneticPr fontId="1" type="noConversion"/>
  </si>
  <si>
    <t>성 능 치</t>
    <phoneticPr fontId="1" type="noConversion"/>
  </si>
  <si>
    <t>보일러 효율</t>
    <phoneticPr fontId="1" type="noConversion"/>
  </si>
  <si>
    <t>보일러 부하율</t>
    <phoneticPr fontId="1" type="noConversion"/>
  </si>
  <si>
    <t>E</t>
    <phoneticPr fontId="1" type="noConversion"/>
  </si>
  <si>
    <t>Lf</t>
    <phoneticPr fontId="1" type="noConversion"/>
  </si>
  <si>
    <t>LNG</t>
    <phoneticPr fontId="1" type="noConversion"/>
  </si>
  <si>
    <t>가스</t>
    <phoneticPr fontId="1" type="noConversion"/>
  </si>
  <si>
    <t>Vt</t>
    <phoneticPr fontId="1" type="noConversion"/>
  </si>
  <si>
    <t>&lt;개정 22.11.21.&gt; 에너지법 시행규칙</t>
    <phoneticPr fontId="1" type="noConversion"/>
  </si>
  <si>
    <t>흡수식 냉온수기(가스) - 냉방</t>
    <phoneticPr fontId="1" type="noConversion"/>
  </si>
  <si>
    <t>흡수식 냉온수기(가스) -난방</t>
    <phoneticPr fontId="1" type="noConversion"/>
  </si>
  <si>
    <t>유량 합격여부</t>
    <phoneticPr fontId="1" type="noConversion"/>
  </si>
  <si>
    <t>양정 합격여부</t>
    <phoneticPr fontId="1" type="noConversion"/>
  </si>
  <si>
    <t>설계양정(m)</t>
    <phoneticPr fontId="1" type="noConversion"/>
  </si>
  <si>
    <t>측정양정(m)</t>
    <phoneticPr fontId="1" type="noConversion"/>
  </si>
  <si>
    <t>토출압력
(kg/cm^2 or bar)</t>
    <phoneticPr fontId="1" type="noConversion"/>
  </si>
  <si>
    <t>흡입압력
(kg/cm^2 or bar)</t>
    <phoneticPr fontId="1" type="noConversion"/>
  </si>
  <si>
    <t>유량 정격값 대비 성능</t>
    <phoneticPr fontId="1" type="noConversion"/>
  </si>
  <si>
    <t>양정 정격값 대비 성능</t>
    <phoneticPr fontId="1" type="noConversion"/>
  </si>
  <si>
    <t>측정 유량값(CMM)</t>
    <phoneticPr fontId="1" type="noConversion"/>
  </si>
  <si>
    <t>P-1</t>
    <phoneticPr fontId="1" type="noConversion"/>
  </si>
  <si>
    <t>예시</t>
    <phoneticPr fontId="1" type="noConversion"/>
  </si>
  <si>
    <t>F-1</t>
    <phoneticPr fontId="1" type="noConversion"/>
  </si>
  <si>
    <t>합격여부 설계값 대비 ±20%로 설정</t>
    <phoneticPr fontId="1" type="noConversion"/>
  </si>
  <si>
    <t>양정이 설계값보다 낮기 때문에 유량이 높게 나온 것으로 추정됨</t>
    <phoneticPr fontId="1" type="noConversion"/>
  </si>
  <si>
    <t>P-2</t>
    <phoneticPr fontId="1" type="noConversion"/>
  </si>
  <si>
    <t>배관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</si>
</sst>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 "/>
    <numFmt numFmtId="177" formatCode="#,##0_ "/>
    <numFmt numFmtId="178" formatCode="0.0%"/>
    <numFmt numFmtId="179" formatCode="0.0_ "/>
    <numFmt numFmtId="180" formatCode="0.00_);[Red]\(0.00\)"/>
    <numFmt numFmtId="181" formatCode="0.0_);[Red]\(0.0\)"/>
    <numFmt numFmtId="182" formatCode="#,##0&quot;0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quotePrefix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76" fontId="0" fillId="0" borderId="5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176" fontId="0" fillId="5" borderId="1" xfId="0" applyNumberFormat="1" applyFill="1" applyBorder="1" applyAlignment="1" applyProtection="1">
      <alignment horizontal="center" vertical="center"/>
      <protection locked="0"/>
    </xf>
    <xf numFmtId="176" fontId="0" fillId="5" borderId="0" xfId="0" applyNumberFormat="1" applyFill="1" applyAlignment="1" applyProtection="1">
      <alignment horizontal="center" vertical="center"/>
      <protection locked="0"/>
    </xf>
    <xf numFmtId="176" fontId="0" fillId="5" borderId="7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178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76" fontId="0" fillId="0" borderId="1" xfId="0" quotePrefix="1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 applyProtection="1">
      <alignment horizontal="center" vertical="center"/>
      <protection locked="0"/>
    </xf>
    <xf numFmtId="20" fontId="0" fillId="0" borderId="1" xfId="0" applyNumberFormat="1" applyBorder="1" applyProtection="1">
      <alignment vertical="center"/>
      <protection locked="0"/>
    </xf>
    <xf numFmtId="180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9" fontId="0" fillId="5" borderId="1" xfId="0" applyNumberFormat="1" applyFill="1" applyBorder="1" applyAlignment="1" applyProtection="1">
      <alignment horizontal="center" vertical="center"/>
      <protection locked="0"/>
    </xf>
    <xf numFmtId="181" fontId="0" fillId="0" borderId="1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78" fontId="0" fillId="0" borderId="0" xfId="0" applyNumberFormat="1">
      <alignment vertical="center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3" xfId="0" quotePrefix="1" applyFill="1" applyBorder="1" applyAlignment="1" applyProtection="1">
      <alignment horizontal="center" vertical="center"/>
      <protection locked="0"/>
    </xf>
    <xf numFmtId="176" fontId="0" fillId="0" borderId="5" xfId="0" applyNumberFormat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10" fontId="0" fillId="0" borderId="1" xfId="0" applyNumberFormat="1" applyBorder="1" applyAlignment="1">
      <alignment horizontal="center" vertical="center"/>
    </xf>
    <xf numFmtId="0" fontId="0" fillId="8" borderId="7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8" borderId="1" xfId="0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9" xfId="0" applyFill="1" applyBorder="1" applyAlignment="1" applyProtection="1">
      <alignment horizontal="center" vertical="center"/>
      <protection locked="0"/>
    </xf>
    <xf numFmtId="0" fontId="0" fillId="5" borderId="10" xfId="0" applyFill="1" applyBorder="1" applyAlignment="1" applyProtection="1">
      <alignment horizontal="center" vertical="center"/>
      <protection locked="0"/>
    </xf>
    <xf numFmtId="0" fontId="0" fillId="5" borderId="11" xfId="0" applyFill="1" applyBorder="1" applyAlignment="1" applyProtection="1">
      <alignment horizontal="center" vertical="center"/>
      <protection locked="0"/>
    </xf>
    <xf numFmtId="0" fontId="0" fillId="5" borderId="12" xfId="0" applyFill="1" applyBorder="1" applyAlignment="1" applyProtection="1">
      <alignment horizontal="center" vertical="center"/>
      <protection locked="0"/>
    </xf>
    <xf numFmtId="176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</cellXfs>
  <cellStyles count="1">
    <cellStyle name="표준" xfId="0" builtinId="0"/>
  </cellStyles>
  <dxfs count="22"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627983</xdr:colOff>
      <xdr:row>18</xdr:row>
      <xdr:rowOff>36004</xdr:rowOff>
    </xdr:from>
    <xdr:ext cx="344582" cy="257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19C8382-18BC-4BD2-9890-85D46CDE07A0}"/>
                </a:ext>
              </a:extLst>
            </xdr:cNvPr>
            <xdr:cNvSpPr txBox="1"/>
          </xdr:nvSpPr>
          <xdr:spPr>
            <a:xfrm>
              <a:off x="2323433" y="5503354"/>
              <a:ext cx="344582" cy="257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𝐶𝑂</m:t>
                        </m:r>
                      </m:e>
                      <m:sub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ko-KR" alt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19C8382-18BC-4BD2-9890-85D46CDE07A0}"/>
                </a:ext>
              </a:extLst>
            </xdr:cNvPr>
            <xdr:cNvSpPr txBox="1"/>
          </xdr:nvSpPr>
          <xdr:spPr>
            <a:xfrm>
              <a:off x="2323433" y="5503354"/>
              <a:ext cx="344582" cy="257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altLang="ko-KR" sz="1400" i="0">
                  <a:latin typeface="Cambria Math" panose="02040503050406030204" pitchFamily="18" charset="0"/>
                </a:rPr>
                <a:t>〖</a:t>
              </a:r>
              <a:r>
                <a:rPr lang="en-US" altLang="ko-KR" sz="1400" b="0" i="0">
                  <a:latin typeface="Cambria Math" panose="02040503050406030204" pitchFamily="18" charset="0"/>
                </a:rPr>
                <a:t>𝐶𝑂〗_2</a:t>
              </a:r>
              <a:endParaRPr lang="ko-KR" altLang="en-US" sz="1400"/>
            </a:p>
          </xdr:txBody>
        </xdr:sp>
      </mc:Fallback>
    </mc:AlternateContent>
    <xdr:clientData/>
  </xdr:oneCellAnchor>
  <xdr:oneCellAnchor>
    <xdr:from>
      <xdr:col>3</xdr:col>
      <xdr:colOff>609600</xdr:colOff>
      <xdr:row>19</xdr:row>
      <xdr:rowOff>47625</xdr:rowOff>
    </xdr:from>
    <xdr:ext cx="344582" cy="257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9CBA0D-F42D-4C93-9B6A-1D88D88D939C}"/>
                </a:ext>
              </a:extLst>
            </xdr:cNvPr>
            <xdr:cNvSpPr txBox="1"/>
          </xdr:nvSpPr>
          <xdr:spPr>
            <a:xfrm>
              <a:off x="2305050" y="5829300"/>
              <a:ext cx="344582" cy="257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ko-KR" alt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9CBA0D-F42D-4C93-9B6A-1D88D88D939C}"/>
                </a:ext>
              </a:extLst>
            </xdr:cNvPr>
            <xdr:cNvSpPr txBox="1"/>
          </xdr:nvSpPr>
          <xdr:spPr>
            <a:xfrm>
              <a:off x="2305050" y="5829300"/>
              <a:ext cx="344582" cy="257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altLang="ko-KR" sz="1400" b="0" i="0">
                  <a:latin typeface="Cambria Math" panose="02040503050406030204" pitchFamily="18" charset="0"/>
                </a:rPr>
                <a:t>𝑂_2</a:t>
              </a:r>
              <a:endParaRPr lang="ko-KR" altLang="en-US" sz="1400"/>
            </a:p>
          </xdr:txBody>
        </xdr:sp>
      </mc:Fallback>
    </mc:AlternateContent>
    <xdr:clientData/>
  </xdr:oneCellAnchor>
  <xdr:oneCellAnchor>
    <xdr:from>
      <xdr:col>3</xdr:col>
      <xdr:colOff>650843</xdr:colOff>
      <xdr:row>20</xdr:row>
      <xdr:rowOff>68421</xdr:rowOff>
    </xdr:from>
    <xdr:ext cx="273536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B5CE78-5BFB-4C7F-BB77-C57976815C9D}"/>
                </a:ext>
              </a:extLst>
            </xdr:cNvPr>
            <xdr:cNvSpPr txBox="1"/>
          </xdr:nvSpPr>
          <xdr:spPr>
            <a:xfrm>
              <a:off x="2346293" y="6164421"/>
              <a:ext cx="27353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400" b="0" i="1">
                        <a:latin typeface="Cambria Math" panose="02040503050406030204" pitchFamily="18" charset="0"/>
                      </a:rPr>
                      <m:t>𝐶𝑂</m:t>
                    </m:r>
                  </m:oMath>
                </m:oMathPara>
              </a14:m>
              <a:endParaRPr lang="ko-KR" alt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B5CE78-5BFB-4C7F-BB77-C57976815C9D}"/>
                </a:ext>
              </a:extLst>
            </xdr:cNvPr>
            <xdr:cNvSpPr txBox="1"/>
          </xdr:nvSpPr>
          <xdr:spPr>
            <a:xfrm>
              <a:off x="2346293" y="6164421"/>
              <a:ext cx="27353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400" b="0" i="0">
                  <a:latin typeface="Cambria Math" panose="02040503050406030204" pitchFamily="18" charset="0"/>
                </a:rPr>
                <a:t>𝐶𝑂</a:t>
              </a:r>
              <a:endParaRPr lang="ko-KR" altLang="en-US" sz="1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748665</xdr:colOff>
      <xdr:row>7</xdr:row>
      <xdr:rowOff>10477</xdr:rowOff>
    </xdr:from>
    <xdr:ext cx="17049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69174D6-C84E-4B96-ABB7-494C0FBF6EBD}"/>
                </a:ext>
              </a:extLst>
            </xdr:cNvPr>
            <xdr:cNvSpPr txBox="1"/>
          </xdr:nvSpPr>
          <xdr:spPr>
            <a:xfrm>
              <a:off x="1415415" y="1639252"/>
              <a:ext cx="1704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69174D6-C84E-4B96-ABB7-494C0FBF6EBD}"/>
                </a:ext>
              </a:extLst>
            </xdr:cNvPr>
            <xdr:cNvSpPr txBox="1"/>
          </xdr:nvSpPr>
          <xdr:spPr>
            <a:xfrm>
              <a:off x="1415415" y="1639252"/>
              <a:ext cx="1704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𝑞_0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739140</xdr:colOff>
      <xdr:row>16</xdr:row>
      <xdr:rowOff>0</xdr:rowOff>
    </xdr:from>
    <xdr:ext cx="15055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A16BCA5-4315-402F-AE59-CC24D54C7BB3}"/>
                </a:ext>
              </a:extLst>
            </xdr:cNvPr>
            <xdr:cNvSpPr txBox="1"/>
          </xdr:nvSpPr>
          <xdr:spPr>
            <a:xfrm>
              <a:off x="1409700" y="2964180"/>
              <a:ext cx="1505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A16BCA5-4315-402F-AE59-CC24D54C7BB3}"/>
                </a:ext>
              </a:extLst>
            </xdr:cNvPr>
            <xdr:cNvSpPr txBox="1"/>
          </xdr:nvSpPr>
          <xdr:spPr>
            <a:xfrm>
              <a:off x="1409700" y="2964180"/>
              <a:ext cx="1505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𝑞_𝑖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8</xdr:col>
      <xdr:colOff>1091565</xdr:colOff>
      <xdr:row>7</xdr:row>
      <xdr:rowOff>16192</xdr:rowOff>
    </xdr:from>
    <xdr:ext cx="17049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E437895-7E22-417F-9DC2-FE092BF46059}"/>
                </a:ext>
              </a:extLst>
            </xdr:cNvPr>
            <xdr:cNvSpPr txBox="1"/>
          </xdr:nvSpPr>
          <xdr:spPr>
            <a:xfrm>
              <a:off x="8549640" y="1644967"/>
              <a:ext cx="1704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E437895-7E22-417F-9DC2-FE092BF46059}"/>
                </a:ext>
              </a:extLst>
            </xdr:cNvPr>
            <xdr:cNvSpPr txBox="1"/>
          </xdr:nvSpPr>
          <xdr:spPr>
            <a:xfrm>
              <a:off x="8549640" y="1644967"/>
              <a:ext cx="1704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𝑞_0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8</xdr:col>
      <xdr:colOff>973455</xdr:colOff>
      <xdr:row>14</xdr:row>
      <xdr:rowOff>0</xdr:rowOff>
    </xdr:from>
    <xdr:ext cx="15055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BFB8E7D-7640-4E0B-80E8-DC09364F5CC5}"/>
                </a:ext>
              </a:extLst>
            </xdr:cNvPr>
            <xdr:cNvSpPr txBox="1"/>
          </xdr:nvSpPr>
          <xdr:spPr>
            <a:xfrm>
              <a:off x="8431530" y="3571875"/>
              <a:ext cx="1505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BFB8E7D-7640-4E0B-80E8-DC09364F5CC5}"/>
                </a:ext>
              </a:extLst>
            </xdr:cNvPr>
            <xdr:cNvSpPr txBox="1"/>
          </xdr:nvSpPr>
          <xdr:spPr>
            <a:xfrm>
              <a:off x="8431530" y="3571875"/>
              <a:ext cx="1505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𝑞_𝑖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8</xdr:col>
      <xdr:colOff>1371600</xdr:colOff>
      <xdr:row>12</xdr:row>
      <xdr:rowOff>0</xdr:rowOff>
    </xdr:from>
    <xdr:ext cx="218714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C5DC97A-0E61-42E9-A5D4-4E2C7E9103FF}"/>
                </a:ext>
              </a:extLst>
            </xdr:cNvPr>
            <xdr:cNvSpPr txBox="1"/>
          </xdr:nvSpPr>
          <xdr:spPr>
            <a:xfrm>
              <a:off x="8829675" y="3362325"/>
              <a:ext cx="21871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𝑔𝑙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C5DC97A-0E61-42E9-A5D4-4E2C7E9103FF}"/>
                </a:ext>
              </a:extLst>
            </xdr:cNvPr>
            <xdr:cNvSpPr txBox="1"/>
          </xdr:nvSpPr>
          <xdr:spPr>
            <a:xfrm>
              <a:off x="8829675" y="3362325"/>
              <a:ext cx="21871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𝑞_𝑔𝑙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8</xdr:col>
      <xdr:colOff>1371600</xdr:colOff>
      <xdr:row>13</xdr:row>
      <xdr:rowOff>0</xdr:rowOff>
    </xdr:from>
    <xdr:ext cx="218714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C84A501-E33E-495D-AEEE-F356DD69316E}"/>
                </a:ext>
              </a:extLst>
            </xdr:cNvPr>
            <xdr:cNvSpPr txBox="1"/>
          </xdr:nvSpPr>
          <xdr:spPr>
            <a:xfrm>
              <a:off x="8829675" y="2724150"/>
              <a:ext cx="21871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𝑔𝑙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C84A501-E33E-495D-AEEE-F356DD69316E}"/>
                </a:ext>
              </a:extLst>
            </xdr:cNvPr>
            <xdr:cNvSpPr txBox="1"/>
          </xdr:nvSpPr>
          <xdr:spPr>
            <a:xfrm>
              <a:off x="8829675" y="2724150"/>
              <a:ext cx="21871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𝑞_𝑔𝑙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748665</xdr:colOff>
      <xdr:row>30</xdr:row>
      <xdr:rowOff>10477</xdr:rowOff>
    </xdr:from>
    <xdr:ext cx="17049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E1B091C-6279-4FF6-B384-05A09A6A0F59}"/>
                </a:ext>
              </a:extLst>
            </xdr:cNvPr>
            <xdr:cNvSpPr txBox="1"/>
          </xdr:nvSpPr>
          <xdr:spPr>
            <a:xfrm>
              <a:off x="1411605" y="1641157"/>
              <a:ext cx="1704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E1B091C-6279-4FF6-B384-05A09A6A0F59}"/>
                </a:ext>
              </a:extLst>
            </xdr:cNvPr>
            <xdr:cNvSpPr txBox="1"/>
          </xdr:nvSpPr>
          <xdr:spPr>
            <a:xfrm>
              <a:off x="1411605" y="1641157"/>
              <a:ext cx="1704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𝑞_0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739140</xdr:colOff>
      <xdr:row>35</xdr:row>
      <xdr:rowOff>0</xdr:rowOff>
    </xdr:from>
    <xdr:ext cx="15055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F676B81-37D3-4C9E-BC76-F6510EFFA4E7}"/>
                </a:ext>
              </a:extLst>
            </xdr:cNvPr>
            <xdr:cNvSpPr txBox="1"/>
          </xdr:nvSpPr>
          <xdr:spPr>
            <a:xfrm>
              <a:off x="1409700" y="3571875"/>
              <a:ext cx="1505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F676B81-37D3-4C9E-BC76-F6510EFFA4E7}"/>
                </a:ext>
              </a:extLst>
            </xdr:cNvPr>
            <xdr:cNvSpPr txBox="1"/>
          </xdr:nvSpPr>
          <xdr:spPr>
            <a:xfrm>
              <a:off x="1409700" y="3571875"/>
              <a:ext cx="1505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𝑞_𝑖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8</xdr:col>
      <xdr:colOff>1091565</xdr:colOff>
      <xdr:row>30</xdr:row>
      <xdr:rowOff>16192</xdr:rowOff>
    </xdr:from>
    <xdr:ext cx="17049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A4A9B39-BED5-4BCF-AF06-6D55747C80F2}"/>
                </a:ext>
              </a:extLst>
            </xdr:cNvPr>
            <xdr:cNvSpPr txBox="1"/>
          </xdr:nvSpPr>
          <xdr:spPr>
            <a:xfrm>
              <a:off x="8606790" y="1587817"/>
              <a:ext cx="1704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A4A9B39-BED5-4BCF-AF06-6D55747C80F2}"/>
                </a:ext>
              </a:extLst>
            </xdr:cNvPr>
            <xdr:cNvSpPr txBox="1"/>
          </xdr:nvSpPr>
          <xdr:spPr>
            <a:xfrm>
              <a:off x="8606790" y="1587817"/>
              <a:ext cx="1704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𝑞_0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8</xdr:col>
      <xdr:colOff>973455</xdr:colOff>
      <xdr:row>37</xdr:row>
      <xdr:rowOff>0</xdr:rowOff>
    </xdr:from>
    <xdr:ext cx="15055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B06CCB8-0A86-4713-838F-7C29F7CFFD4B}"/>
                </a:ext>
              </a:extLst>
            </xdr:cNvPr>
            <xdr:cNvSpPr txBox="1"/>
          </xdr:nvSpPr>
          <xdr:spPr>
            <a:xfrm>
              <a:off x="8488680" y="3048000"/>
              <a:ext cx="1505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B06CCB8-0A86-4713-838F-7C29F7CFFD4B}"/>
                </a:ext>
              </a:extLst>
            </xdr:cNvPr>
            <xdr:cNvSpPr txBox="1"/>
          </xdr:nvSpPr>
          <xdr:spPr>
            <a:xfrm>
              <a:off x="8488680" y="3048000"/>
              <a:ext cx="1505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𝑞_𝑖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8</xdr:col>
      <xdr:colOff>1371600</xdr:colOff>
      <xdr:row>35</xdr:row>
      <xdr:rowOff>0</xdr:rowOff>
    </xdr:from>
    <xdr:ext cx="218714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9C47B13-D9C5-45D1-B943-374AFB5767F6}"/>
                </a:ext>
              </a:extLst>
            </xdr:cNvPr>
            <xdr:cNvSpPr txBox="1"/>
          </xdr:nvSpPr>
          <xdr:spPr>
            <a:xfrm>
              <a:off x="8886825" y="2628900"/>
              <a:ext cx="21871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𝑔𝑙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9C47B13-D9C5-45D1-B943-374AFB5767F6}"/>
                </a:ext>
              </a:extLst>
            </xdr:cNvPr>
            <xdr:cNvSpPr txBox="1"/>
          </xdr:nvSpPr>
          <xdr:spPr>
            <a:xfrm>
              <a:off x="8886825" y="2628900"/>
              <a:ext cx="21871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𝑞_𝑔𝑙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8</xdr:col>
      <xdr:colOff>1371600</xdr:colOff>
      <xdr:row>36</xdr:row>
      <xdr:rowOff>0</xdr:rowOff>
    </xdr:from>
    <xdr:ext cx="218714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D8524EB-C7F1-4542-B50C-27C10F00C44E}"/>
                </a:ext>
              </a:extLst>
            </xdr:cNvPr>
            <xdr:cNvSpPr txBox="1"/>
          </xdr:nvSpPr>
          <xdr:spPr>
            <a:xfrm>
              <a:off x="8886825" y="2838450"/>
              <a:ext cx="21871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𝑔𝑙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D8524EB-C7F1-4542-B50C-27C10F00C44E}"/>
                </a:ext>
              </a:extLst>
            </xdr:cNvPr>
            <xdr:cNvSpPr txBox="1"/>
          </xdr:nvSpPr>
          <xdr:spPr>
            <a:xfrm>
              <a:off x="8886825" y="2838450"/>
              <a:ext cx="21871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𝑞_𝑔𝑙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306705</xdr:colOff>
      <xdr:row>3</xdr:row>
      <xdr:rowOff>10477</xdr:rowOff>
    </xdr:from>
    <xdr:ext cx="2592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2F1547D-6D32-452F-B4ED-2EF5BD790241}"/>
                </a:ext>
              </a:extLst>
            </xdr:cNvPr>
            <xdr:cNvSpPr txBox="1"/>
          </xdr:nvSpPr>
          <xdr:spPr>
            <a:xfrm>
              <a:off x="6383655" y="448627"/>
              <a:ext cx="2592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𝑐𝑟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2F1547D-6D32-452F-B4ED-2EF5BD790241}"/>
                </a:ext>
              </a:extLst>
            </xdr:cNvPr>
            <xdr:cNvSpPr txBox="1"/>
          </xdr:nvSpPr>
          <xdr:spPr>
            <a:xfrm>
              <a:off x="6383655" y="448627"/>
              <a:ext cx="2592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𝑀_𝑐𝑟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175004</xdr:colOff>
      <xdr:row>23</xdr:row>
      <xdr:rowOff>28576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593503-52C1-4591-8B8E-F614AF19B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509254" cy="50673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0</xdr:row>
      <xdr:rowOff>1</xdr:rowOff>
    </xdr:from>
    <xdr:to>
      <xdr:col>25</xdr:col>
      <xdr:colOff>247650</xdr:colOff>
      <xdr:row>21</xdr:row>
      <xdr:rowOff>37261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C221D6-67B7-4F10-9A7F-6279E866A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1"/>
          <a:ext cx="9391650" cy="4637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0B6E-BA3C-4908-9620-565E0998256D}">
  <dimension ref="A1:N30"/>
  <sheetViews>
    <sheetView workbookViewId="0">
      <selection activeCell="G17" sqref="G17"/>
    </sheetView>
  </sheetViews>
  <sheetFormatPr defaultRowHeight="17" x14ac:dyDescent="0.45"/>
  <cols>
    <col min="1" max="1" width="8.75" style="1"/>
    <col min="2" max="3" width="6.75" customWidth="1"/>
    <col min="4" max="4" width="21.25" customWidth="1"/>
    <col min="5" max="6" width="10.75" customWidth="1"/>
    <col min="7" max="7" width="21.25" customWidth="1"/>
    <col min="10" max="10" width="30.75" customWidth="1"/>
    <col min="11" max="14" width="12.75" customWidth="1"/>
  </cols>
  <sheetData>
    <row r="1" spans="1:14" x14ac:dyDescent="0.45">
      <c r="A1" s="59" t="s">
        <v>197</v>
      </c>
      <c r="B1" s="60"/>
      <c r="C1" s="60"/>
      <c r="D1" s="60"/>
      <c r="E1" s="60"/>
      <c r="F1" s="60"/>
      <c r="G1" s="61"/>
      <c r="I1" s="59" t="s">
        <v>198</v>
      </c>
      <c r="J1" s="60"/>
      <c r="K1" s="60"/>
      <c r="L1" s="60"/>
      <c r="M1" s="60"/>
      <c r="N1" s="61"/>
    </row>
    <row r="2" spans="1:14" x14ac:dyDescent="0.45">
      <c r="A2" s="62"/>
      <c r="B2" s="63"/>
      <c r="C2" s="63"/>
      <c r="D2" s="63"/>
      <c r="E2" s="63"/>
      <c r="F2" s="63"/>
      <c r="G2" s="64"/>
      <c r="I2" s="62"/>
      <c r="J2" s="63"/>
      <c r="K2" s="63"/>
      <c r="L2" s="63"/>
      <c r="M2" s="63"/>
      <c r="N2" s="64"/>
    </row>
    <row r="3" spans="1:14" ht="25.15" customHeight="1" x14ac:dyDescent="0.45">
      <c r="A3" s="39" t="s">
        <v>168</v>
      </c>
      <c r="B3" s="56" t="s">
        <v>169</v>
      </c>
      <c r="C3" s="56"/>
      <c r="D3" s="56"/>
      <c r="E3" s="39" t="s">
        <v>170</v>
      </c>
      <c r="F3" s="39" t="s">
        <v>60</v>
      </c>
      <c r="G3" s="39" t="s">
        <v>171</v>
      </c>
      <c r="I3" s="56" t="s">
        <v>199</v>
      </c>
      <c r="J3" s="56" t="s">
        <v>202</v>
      </c>
      <c r="K3" s="56" t="s">
        <v>200</v>
      </c>
      <c r="L3" s="56"/>
      <c r="M3" s="56" t="s">
        <v>201</v>
      </c>
      <c r="N3" s="56"/>
    </row>
    <row r="4" spans="1:14" ht="25.15" customHeight="1" x14ac:dyDescent="0.45">
      <c r="A4" s="2">
        <v>1</v>
      </c>
      <c r="B4" s="54" t="s">
        <v>176</v>
      </c>
      <c r="C4" s="54"/>
      <c r="D4" s="54"/>
      <c r="E4" s="20"/>
      <c r="F4" s="20"/>
      <c r="G4" s="2"/>
      <c r="I4" s="56"/>
      <c r="J4" s="56"/>
      <c r="K4" s="39" t="s">
        <v>79</v>
      </c>
      <c r="L4" s="39" t="s">
        <v>71</v>
      </c>
      <c r="M4" s="39" t="s">
        <v>79</v>
      </c>
      <c r="N4" s="39" t="s">
        <v>71</v>
      </c>
    </row>
    <row r="5" spans="1:14" ht="25.15" customHeight="1" x14ac:dyDescent="0.45">
      <c r="A5" s="2">
        <v>2</v>
      </c>
      <c r="B5" s="54" t="s">
        <v>177</v>
      </c>
      <c r="C5" s="54"/>
      <c r="D5" s="54"/>
      <c r="E5" s="20"/>
      <c r="F5" s="20"/>
      <c r="G5" s="2"/>
      <c r="I5" s="2">
        <v>1</v>
      </c>
      <c r="J5" s="2" t="s">
        <v>203</v>
      </c>
      <c r="K5" s="20"/>
      <c r="L5" s="20"/>
      <c r="M5" s="20"/>
      <c r="N5" s="20"/>
    </row>
    <row r="6" spans="1:14" ht="25.15" customHeight="1" x14ac:dyDescent="0.45">
      <c r="A6" s="2">
        <v>3</v>
      </c>
      <c r="B6" s="55" t="s">
        <v>172</v>
      </c>
      <c r="C6" s="54" t="s">
        <v>179</v>
      </c>
      <c r="D6" s="54"/>
      <c r="E6" s="2" t="s">
        <v>219</v>
      </c>
      <c r="F6" s="2" t="s">
        <v>23</v>
      </c>
      <c r="G6" s="2" t="s">
        <v>218</v>
      </c>
      <c r="I6" s="2">
        <v>2</v>
      </c>
      <c r="J6" s="2" t="s">
        <v>204</v>
      </c>
      <c r="K6" s="20"/>
      <c r="L6" s="20"/>
      <c r="M6" s="20"/>
      <c r="N6" s="20"/>
    </row>
    <row r="7" spans="1:14" ht="25.15" customHeight="1" x14ac:dyDescent="0.45">
      <c r="A7" s="2">
        <v>4</v>
      </c>
      <c r="B7" s="55"/>
      <c r="C7" s="54" t="s">
        <v>180</v>
      </c>
      <c r="D7" s="54"/>
      <c r="E7" s="2" t="s">
        <v>220</v>
      </c>
      <c r="F7" s="2" t="s">
        <v>82</v>
      </c>
      <c r="G7" s="2"/>
      <c r="I7" s="2">
        <v>3</v>
      </c>
      <c r="J7" s="2" t="s">
        <v>205</v>
      </c>
      <c r="K7" s="20"/>
      <c r="L7" s="20"/>
      <c r="M7" s="20"/>
      <c r="N7" s="20"/>
    </row>
    <row r="8" spans="1:14" ht="25.15" customHeight="1" x14ac:dyDescent="0.45">
      <c r="A8" s="2">
        <v>5</v>
      </c>
      <c r="B8" s="55"/>
      <c r="C8" s="54" t="s">
        <v>181</v>
      </c>
      <c r="D8" s="54"/>
      <c r="E8" s="20"/>
      <c r="F8" s="20"/>
      <c r="G8" s="2"/>
      <c r="I8" s="2">
        <v>4</v>
      </c>
      <c r="J8" s="2" t="s">
        <v>206</v>
      </c>
      <c r="K8" s="20"/>
      <c r="L8" s="20"/>
      <c r="M8" s="20"/>
      <c r="N8" s="20"/>
    </row>
    <row r="9" spans="1:14" ht="25.15" customHeight="1" x14ac:dyDescent="0.45">
      <c r="A9" s="2">
        <v>6</v>
      </c>
      <c r="B9" s="55"/>
      <c r="C9" s="54" t="s">
        <v>182</v>
      </c>
      <c r="D9" s="54"/>
      <c r="E9" s="20"/>
      <c r="F9" s="20"/>
      <c r="G9" s="2"/>
      <c r="I9" s="2">
        <v>5</v>
      </c>
      <c r="J9" s="2" t="s">
        <v>207</v>
      </c>
      <c r="K9" s="20"/>
      <c r="L9" s="20"/>
      <c r="M9" s="20"/>
      <c r="N9" s="20"/>
    </row>
    <row r="10" spans="1:14" ht="25.15" customHeight="1" x14ac:dyDescent="0.45">
      <c r="A10" s="2">
        <v>7</v>
      </c>
      <c r="B10" s="55"/>
      <c r="C10" s="54" t="s">
        <v>183</v>
      </c>
      <c r="D10" s="54"/>
      <c r="E10" s="20"/>
      <c r="F10" s="20"/>
      <c r="G10" s="2"/>
      <c r="I10" s="2">
        <v>6</v>
      </c>
      <c r="J10" s="2" t="s">
        <v>208</v>
      </c>
      <c r="K10" s="20"/>
      <c r="L10" s="20"/>
      <c r="M10" s="20"/>
      <c r="N10" s="20"/>
    </row>
    <row r="11" spans="1:14" ht="25.15" customHeight="1" x14ac:dyDescent="0.45">
      <c r="A11" s="2">
        <v>8</v>
      </c>
      <c r="B11" s="55" t="s">
        <v>173</v>
      </c>
      <c r="C11" s="54" t="s">
        <v>184</v>
      </c>
      <c r="D11" s="54"/>
      <c r="E11" s="20"/>
      <c r="F11" s="20"/>
      <c r="G11" s="2"/>
      <c r="I11" s="2">
        <v>7</v>
      </c>
      <c r="J11" s="2" t="s">
        <v>209</v>
      </c>
      <c r="K11" s="20"/>
      <c r="L11" s="20"/>
      <c r="M11" s="20"/>
      <c r="N11" s="20"/>
    </row>
    <row r="12" spans="1:14" ht="25.15" customHeight="1" x14ac:dyDescent="0.45">
      <c r="A12" s="2">
        <v>9</v>
      </c>
      <c r="B12" s="55"/>
      <c r="C12" s="57" t="s">
        <v>185</v>
      </c>
      <c r="D12" s="58"/>
      <c r="E12" s="20"/>
      <c r="F12" s="20"/>
      <c r="G12" s="2"/>
      <c r="I12" s="2"/>
      <c r="J12" s="2" t="s">
        <v>210</v>
      </c>
      <c r="K12" s="20"/>
      <c r="L12" s="20"/>
      <c r="M12" s="20"/>
      <c r="N12" s="20"/>
    </row>
    <row r="13" spans="1:14" ht="25.15" customHeight="1" x14ac:dyDescent="0.45">
      <c r="A13" s="2">
        <v>10</v>
      </c>
      <c r="B13" s="55" t="s">
        <v>174</v>
      </c>
      <c r="C13" s="54" t="s">
        <v>186</v>
      </c>
      <c r="D13" s="54"/>
      <c r="E13" s="20"/>
      <c r="F13" s="20"/>
      <c r="G13" s="2"/>
    </row>
    <row r="14" spans="1:14" ht="25.15" customHeight="1" x14ac:dyDescent="0.45">
      <c r="A14" s="2">
        <v>11</v>
      </c>
      <c r="B14" s="55"/>
      <c r="C14" s="57" t="s">
        <v>187</v>
      </c>
      <c r="D14" s="58"/>
      <c r="E14" s="20"/>
      <c r="F14" s="20"/>
      <c r="G14" s="2"/>
      <c r="H14" s="1"/>
      <c r="I14" s="39" t="s">
        <v>199</v>
      </c>
      <c r="J14" s="39" t="s">
        <v>202</v>
      </c>
      <c r="K14" s="39" t="s">
        <v>211</v>
      </c>
      <c r="L14" s="39" t="s">
        <v>212</v>
      </c>
      <c r="M14" s="56" t="s">
        <v>213</v>
      </c>
      <c r="N14" s="56"/>
    </row>
    <row r="15" spans="1:14" ht="25.15" customHeight="1" x14ac:dyDescent="0.45">
      <c r="A15" s="2">
        <v>12</v>
      </c>
      <c r="B15" s="55" t="s">
        <v>175</v>
      </c>
      <c r="C15" s="57" t="s">
        <v>188</v>
      </c>
      <c r="D15" s="58"/>
      <c r="E15" s="20"/>
      <c r="F15" s="20"/>
      <c r="G15" s="2"/>
      <c r="I15" s="2">
        <v>1</v>
      </c>
      <c r="J15" s="2" t="s">
        <v>214</v>
      </c>
      <c r="K15" s="2" t="s">
        <v>216</v>
      </c>
      <c r="L15" s="2" t="s">
        <v>71</v>
      </c>
      <c r="M15" s="54"/>
      <c r="N15" s="54"/>
    </row>
    <row r="16" spans="1:14" ht="25.15" customHeight="1" x14ac:dyDescent="0.45">
      <c r="A16" s="2">
        <v>13</v>
      </c>
      <c r="B16" s="55"/>
      <c r="C16" s="57" t="s">
        <v>189</v>
      </c>
      <c r="D16" s="58"/>
      <c r="E16" s="20"/>
      <c r="F16" s="20"/>
      <c r="G16" s="2"/>
      <c r="I16" s="2">
        <v>2</v>
      </c>
      <c r="J16" s="2" t="s">
        <v>215</v>
      </c>
      <c r="K16" s="2" t="s">
        <v>217</v>
      </c>
      <c r="L16" s="2" t="s">
        <v>71</v>
      </c>
      <c r="M16" s="54"/>
      <c r="N16" s="54"/>
    </row>
    <row r="17" spans="1:7" ht="25.15" customHeight="1" x14ac:dyDescent="0.45">
      <c r="A17" s="2">
        <v>14</v>
      </c>
      <c r="B17" s="55"/>
      <c r="C17" s="57" t="s">
        <v>190</v>
      </c>
      <c r="D17" s="58"/>
      <c r="E17" s="20"/>
      <c r="F17" s="20"/>
      <c r="G17" s="2"/>
    </row>
    <row r="18" spans="1:7" ht="25.15" customHeight="1" x14ac:dyDescent="0.45">
      <c r="A18" s="2">
        <v>15</v>
      </c>
      <c r="B18" s="55" t="s">
        <v>178</v>
      </c>
      <c r="C18" s="2" t="s">
        <v>191</v>
      </c>
      <c r="D18" s="2" t="s">
        <v>193</v>
      </c>
      <c r="E18" s="20"/>
      <c r="F18" s="20"/>
      <c r="G18" s="2"/>
    </row>
    <row r="19" spans="1:7" ht="25.15" customHeight="1" x14ac:dyDescent="0.45">
      <c r="A19" s="2">
        <v>16</v>
      </c>
      <c r="B19" s="55"/>
      <c r="C19" s="65" t="s">
        <v>192</v>
      </c>
      <c r="D19" s="2"/>
      <c r="E19" s="20"/>
      <c r="F19" s="20"/>
      <c r="G19" s="2"/>
    </row>
    <row r="20" spans="1:7" ht="25.15" customHeight="1" x14ac:dyDescent="0.45">
      <c r="A20" s="2">
        <v>17</v>
      </c>
      <c r="B20" s="55"/>
      <c r="C20" s="66"/>
      <c r="D20" s="2"/>
      <c r="E20" s="20"/>
      <c r="F20" s="20"/>
      <c r="G20" s="2"/>
    </row>
    <row r="21" spans="1:7" ht="25.15" customHeight="1" x14ac:dyDescent="0.45">
      <c r="A21" s="2">
        <v>18</v>
      </c>
      <c r="B21" s="55"/>
      <c r="C21" s="67"/>
      <c r="D21" s="22"/>
      <c r="E21" s="20"/>
      <c r="F21" s="20"/>
      <c r="G21" s="2"/>
    </row>
    <row r="22" spans="1:7" ht="25.15" customHeight="1" x14ac:dyDescent="0.45">
      <c r="A22" s="2">
        <v>19</v>
      </c>
      <c r="B22" s="54" t="s">
        <v>194</v>
      </c>
      <c r="C22" s="54"/>
      <c r="D22" s="54"/>
      <c r="E22" s="20"/>
      <c r="F22" s="20"/>
      <c r="G22" s="2"/>
    </row>
    <row r="23" spans="1:7" ht="25.15" customHeight="1" x14ac:dyDescent="0.45">
      <c r="A23" s="2">
        <v>20</v>
      </c>
      <c r="B23" s="54" t="s">
        <v>195</v>
      </c>
      <c r="C23" s="54"/>
      <c r="D23" s="54"/>
      <c r="E23" s="20"/>
      <c r="F23" s="20"/>
      <c r="G23" s="2"/>
    </row>
    <row r="24" spans="1:7" ht="25.15" customHeight="1" x14ac:dyDescent="0.45">
      <c r="A24" s="2">
        <v>21</v>
      </c>
      <c r="B24" s="54" t="s">
        <v>196</v>
      </c>
      <c r="C24" s="54"/>
      <c r="D24" s="54"/>
      <c r="E24" s="20"/>
      <c r="F24" s="20"/>
      <c r="G24" s="2"/>
    </row>
    <row r="25" spans="1:7" ht="25.15" customHeight="1" x14ac:dyDescent="0.45"/>
    <row r="26" spans="1:7" ht="25.15" customHeight="1" x14ac:dyDescent="0.45"/>
    <row r="27" spans="1:7" ht="25.15" customHeight="1" x14ac:dyDescent="0.45"/>
    <row r="28" spans="1:7" ht="25.15" customHeight="1" x14ac:dyDescent="0.45"/>
    <row r="29" spans="1:7" ht="22.9" customHeight="1" x14ac:dyDescent="0.45"/>
    <row r="30" spans="1:7" ht="22.9" customHeight="1" x14ac:dyDescent="0.45"/>
  </sheetData>
  <mergeCells count="33">
    <mergeCell ref="M14:N14"/>
    <mergeCell ref="M15:N15"/>
    <mergeCell ref="M16:N16"/>
    <mergeCell ref="C17:D17"/>
    <mergeCell ref="C19:C21"/>
    <mergeCell ref="A1:G2"/>
    <mergeCell ref="I1:N2"/>
    <mergeCell ref="K3:L3"/>
    <mergeCell ref="M3:N3"/>
    <mergeCell ref="J3:J4"/>
    <mergeCell ref="I3:I4"/>
    <mergeCell ref="B18:B21"/>
    <mergeCell ref="B22:D22"/>
    <mergeCell ref="B23:D23"/>
    <mergeCell ref="B24:D24"/>
    <mergeCell ref="C12:D12"/>
    <mergeCell ref="C13:D13"/>
    <mergeCell ref="C14:D14"/>
    <mergeCell ref="C15:D15"/>
    <mergeCell ref="C16:D16"/>
    <mergeCell ref="C11:D11"/>
    <mergeCell ref="B11:B12"/>
    <mergeCell ref="B13:B14"/>
    <mergeCell ref="B15:B17"/>
    <mergeCell ref="B3:D3"/>
    <mergeCell ref="B4:D4"/>
    <mergeCell ref="B5:D5"/>
    <mergeCell ref="B6:B10"/>
    <mergeCell ref="C6:D6"/>
    <mergeCell ref="C7:D7"/>
    <mergeCell ref="C8:D8"/>
    <mergeCell ref="C9:D9"/>
    <mergeCell ref="C10:D1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0762-B329-4EBF-8FDF-423C6DFE1513}">
  <dimension ref="A1:O43"/>
  <sheetViews>
    <sheetView topLeftCell="A21" workbookViewId="0">
      <selection activeCell="H24" sqref="H24:M24"/>
    </sheetView>
  </sheetViews>
  <sheetFormatPr defaultRowHeight="17" x14ac:dyDescent="0.45"/>
  <cols>
    <col min="2" max="2" width="15.75" customWidth="1"/>
    <col min="3" max="3" width="14.5" customWidth="1"/>
    <col min="4" max="5" width="14.58203125" customWidth="1"/>
    <col min="6" max="6" width="12.08203125" customWidth="1"/>
    <col min="9" max="9" width="22.25" customWidth="1"/>
    <col min="10" max="10" width="14.5" customWidth="1"/>
    <col min="11" max="12" width="14.58203125" customWidth="1"/>
    <col min="13" max="13" width="34.33203125" bestFit="1" customWidth="1"/>
  </cols>
  <sheetData>
    <row r="1" spans="1:13" ht="24.65" customHeight="1" x14ac:dyDescent="0.45">
      <c r="A1" s="74" t="s">
        <v>49</v>
      </c>
      <c r="B1" s="75"/>
      <c r="C1" s="75"/>
      <c r="D1" s="75"/>
      <c r="E1" s="75"/>
      <c r="F1" s="76"/>
      <c r="H1" s="74" t="s">
        <v>222</v>
      </c>
      <c r="I1" s="75"/>
      <c r="J1" s="75"/>
      <c r="K1" s="75"/>
      <c r="L1" s="75"/>
      <c r="M1" s="76"/>
    </row>
    <row r="2" spans="1:13" x14ac:dyDescent="0.45">
      <c r="A2" s="77" t="s">
        <v>61</v>
      </c>
      <c r="B2" s="77"/>
      <c r="C2" s="21" t="s">
        <v>60</v>
      </c>
      <c r="D2" s="21" t="s">
        <v>68</v>
      </c>
      <c r="E2" s="21" t="s">
        <v>58</v>
      </c>
      <c r="F2" s="21" t="s">
        <v>59</v>
      </c>
      <c r="H2" s="77" t="s">
        <v>61</v>
      </c>
      <c r="I2" s="77"/>
      <c r="J2" s="21" t="s">
        <v>60</v>
      </c>
      <c r="K2" s="21" t="s">
        <v>68</v>
      </c>
      <c r="L2" s="21" t="s">
        <v>58</v>
      </c>
      <c r="M2" s="21" t="s">
        <v>59</v>
      </c>
    </row>
    <row r="3" spans="1:13" ht="17.5" customHeight="1" x14ac:dyDescent="0.45">
      <c r="A3" s="55" t="s">
        <v>57</v>
      </c>
      <c r="B3" s="2" t="s">
        <v>50</v>
      </c>
      <c r="C3" s="2" t="s">
        <v>53</v>
      </c>
      <c r="D3" s="24">
        <v>12</v>
      </c>
      <c r="E3" s="24">
        <v>8.5</v>
      </c>
      <c r="F3" s="28"/>
      <c r="H3" s="55" t="s">
        <v>57</v>
      </c>
      <c r="I3" s="2" t="s">
        <v>50</v>
      </c>
      <c r="J3" s="2" t="s">
        <v>53</v>
      </c>
      <c r="K3" s="24">
        <v>12</v>
      </c>
      <c r="L3" s="24">
        <v>11.5</v>
      </c>
      <c r="M3" s="28"/>
    </row>
    <row r="4" spans="1:13" x14ac:dyDescent="0.45">
      <c r="A4" s="54"/>
      <c r="B4" s="2" t="s">
        <v>51</v>
      </c>
      <c r="C4" s="2" t="s">
        <v>52</v>
      </c>
      <c r="D4" s="24">
        <v>7</v>
      </c>
      <c r="E4" s="24">
        <v>6.7</v>
      </c>
      <c r="F4" s="28"/>
      <c r="H4" s="54"/>
      <c r="I4" s="2" t="s">
        <v>51</v>
      </c>
      <c r="J4" s="2" t="s">
        <v>52</v>
      </c>
      <c r="K4" s="24">
        <v>7</v>
      </c>
      <c r="L4" s="24">
        <v>9.6</v>
      </c>
      <c r="M4" s="28"/>
    </row>
    <row r="5" spans="1:13" x14ac:dyDescent="0.45">
      <c r="A5" s="54"/>
      <c r="B5" s="2" t="s">
        <v>62</v>
      </c>
      <c r="C5" s="2" t="s">
        <v>55</v>
      </c>
      <c r="D5" s="24">
        <v>593.9</v>
      </c>
      <c r="E5" s="24">
        <v>380</v>
      </c>
      <c r="F5" s="28"/>
      <c r="H5" s="54"/>
      <c r="I5" s="2" t="s">
        <v>62</v>
      </c>
      <c r="J5" s="2" t="s">
        <v>55</v>
      </c>
      <c r="K5" s="24">
        <v>241.9</v>
      </c>
      <c r="L5" s="24">
        <v>180.9</v>
      </c>
      <c r="M5" s="28"/>
    </row>
    <row r="6" spans="1:13" x14ac:dyDescent="0.45">
      <c r="A6" s="54"/>
      <c r="B6" s="2" t="s">
        <v>64</v>
      </c>
      <c r="C6" s="2" t="s">
        <v>65</v>
      </c>
      <c r="D6" s="57">
        <v>1000</v>
      </c>
      <c r="E6" s="58"/>
      <c r="F6" s="28"/>
      <c r="H6" s="54"/>
      <c r="I6" s="2" t="s">
        <v>64</v>
      </c>
      <c r="J6" s="2" t="s">
        <v>65</v>
      </c>
      <c r="K6" s="57">
        <v>1000</v>
      </c>
      <c r="L6" s="58"/>
      <c r="M6" s="28"/>
    </row>
    <row r="7" spans="1:13" x14ac:dyDescent="0.45">
      <c r="A7" s="54"/>
      <c r="B7" s="2" t="s">
        <v>63</v>
      </c>
      <c r="C7" s="2" t="s">
        <v>56</v>
      </c>
      <c r="D7" s="57">
        <v>1</v>
      </c>
      <c r="E7" s="58"/>
      <c r="F7" s="28"/>
      <c r="H7" s="54"/>
      <c r="I7" s="2" t="s">
        <v>63</v>
      </c>
      <c r="J7" s="2" t="s">
        <v>56</v>
      </c>
      <c r="K7" s="57">
        <v>1</v>
      </c>
      <c r="L7" s="58"/>
      <c r="M7" s="28"/>
    </row>
    <row r="8" spans="1:13" x14ac:dyDescent="0.45">
      <c r="A8" s="20" t="s">
        <v>67</v>
      </c>
      <c r="B8" s="20"/>
      <c r="C8" s="2" t="s">
        <v>66</v>
      </c>
      <c r="D8" s="2">
        <f>ABS((D4-D3)*D5*D6*D7)</f>
        <v>2969500</v>
      </c>
      <c r="E8" s="2">
        <f>ABS((E4-E3)*E5*D6*D7)</f>
        <v>683999.99999999988</v>
      </c>
      <c r="F8" s="29"/>
      <c r="H8" s="20" t="s">
        <v>86</v>
      </c>
      <c r="I8" s="20"/>
      <c r="J8" s="2" t="s">
        <v>66</v>
      </c>
      <c r="K8" s="2">
        <f>ABS((K4-K3)*K5*K6*K7)</f>
        <v>1209500</v>
      </c>
      <c r="L8" s="2">
        <f>ABS((L4-L3)*L5*K6*K7)</f>
        <v>343710.00000000012</v>
      </c>
      <c r="M8" s="29"/>
    </row>
    <row r="9" spans="1:13" x14ac:dyDescent="0.45">
      <c r="A9" s="54" t="s">
        <v>90</v>
      </c>
      <c r="B9" s="54"/>
      <c r="C9" s="2" t="s">
        <v>69</v>
      </c>
      <c r="D9" s="68">
        <v>982</v>
      </c>
      <c r="E9" s="68"/>
      <c r="F9" s="29"/>
      <c r="H9" s="54" t="s">
        <v>90</v>
      </c>
      <c r="I9" s="54"/>
      <c r="J9" s="2" t="s">
        <v>69</v>
      </c>
      <c r="K9" s="68">
        <v>400</v>
      </c>
      <c r="L9" s="68"/>
      <c r="M9" s="29"/>
    </row>
    <row r="10" spans="1:13" x14ac:dyDescent="0.45">
      <c r="A10" s="54"/>
      <c r="B10" s="54"/>
      <c r="C10" s="2" t="s">
        <v>66</v>
      </c>
      <c r="D10" s="54">
        <f>D9*3024</f>
        <v>2969568</v>
      </c>
      <c r="E10" s="54"/>
      <c r="F10" s="29"/>
      <c r="H10" s="54"/>
      <c r="I10" s="54"/>
      <c r="J10" s="2" t="s">
        <v>66</v>
      </c>
      <c r="K10" s="54">
        <f>K9*3024</f>
        <v>1209600</v>
      </c>
      <c r="L10" s="54"/>
      <c r="M10" s="29"/>
    </row>
    <row r="11" spans="1:13" x14ac:dyDescent="0.45">
      <c r="A11" s="83" t="s">
        <v>70</v>
      </c>
      <c r="B11" s="83"/>
      <c r="C11" s="2" t="s">
        <v>71</v>
      </c>
      <c r="D11" s="69">
        <f>E8/D10</f>
        <v>0.23033653379885555</v>
      </c>
      <c r="E11" s="69"/>
      <c r="F11" s="29"/>
      <c r="H11" s="83" t="s">
        <v>70</v>
      </c>
      <c r="I11" s="83"/>
      <c r="J11" s="2" t="s">
        <v>71</v>
      </c>
      <c r="K11" s="69">
        <f>L8/K10</f>
        <v>0.28415178571428579</v>
      </c>
      <c r="L11" s="69"/>
      <c r="M11" s="29"/>
    </row>
    <row r="12" spans="1:13" ht="17.5" customHeight="1" x14ac:dyDescent="0.45">
      <c r="A12" s="65" t="s">
        <v>73</v>
      </c>
      <c r="B12" s="22" t="s">
        <v>50</v>
      </c>
      <c r="C12" s="2" t="s">
        <v>53</v>
      </c>
      <c r="D12" s="24">
        <v>95</v>
      </c>
      <c r="E12" s="24">
        <v>92</v>
      </c>
      <c r="F12" s="29"/>
      <c r="H12" s="65" t="s">
        <v>78</v>
      </c>
      <c r="I12" s="2" t="s">
        <v>62</v>
      </c>
      <c r="J12" s="2" t="s">
        <v>82</v>
      </c>
      <c r="K12" s="24">
        <v>115.5</v>
      </c>
      <c r="L12" s="40">
        <v>35.9</v>
      </c>
      <c r="M12" s="29"/>
    </row>
    <row r="13" spans="1:13" x14ac:dyDescent="0.45">
      <c r="A13" s="80"/>
      <c r="B13" s="22" t="s">
        <v>51</v>
      </c>
      <c r="C13" s="2" t="s">
        <v>53</v>
      </c>
      <c r="D13" s="24">
        <v>55</v>
      </c>
      <c r="E13" s="24">
        <v>58</v>
      </c>
      <c r="F13" s="29"/>
      <c r="H13" s="80"/>
      <c r="I13" s="23" t="s">
        <v>80</v>
      </c>
      <c r="J13" s="2" t="s">
        <v>79</v>
      </c>
      <c r="K13" s="70">
        <v>9190</v>
      </c>
      <c r="L13" s="71"/>
      <c r="M13" s="72" t="s">
        <v>221</v>
      </c>
    </row>
    <row r="14" spans="1:13" ht="16.899999999999999" customHeight="1" x14ac:dyDescent="0.45">
      <c r="A14" s="80"/>
      <c r="B14" s="2" t="s">
        <v>62</v>
      </c>
      <c r="C14" s="2" t="s">
        <v>54</v>
      </c>
      <c r="D14" s="24">
        <v>101.7</v>
      </c>
      <c r="E14" s="25">
        <v>70</v>
      </c>
      <c r="F14" s="29"/>
      <c r="H14" s="81"/>
      <c r="I14" s="23" t="s">
        <v>83</v>
      </c>
      <c r="J14" s="2" t="s">
        <v>79</v>
      </c>
      <c r="K14" s="82">
        <v>10190</v>
      </c>
      <c r="L14" s="82"/>
      <c r="M14" s="73"/>
    </row>
    <row r="15" spans="1:13" ht="16.899999999999999" customHeight="1" x14ac:dyDescent="0.45">
      <c r="A15" s="80"/>
      <c r="B15" s="2" t="s">
        <v>64</v>
      </c>
      <c r="C15" s="2" t="s">
        <v>65</v>
      </c>
      <c r="D15" s="57">
        <v>1000</v>
      </c>
      <c r="E15" s="58"/>
      <c r="F15" s="29"/>
      <c r="H15" s="20" t="s">
        <v>81</v>
      </c>
      <c r="I15" s="20"/>
      <c r="J15" s="2" t="s">
        <v>66</v>
      </c>
      <c r="K15" s="5">
        <f>K12*K14</f>
        <v>1176945</v>
      </c>
      <c r="L15" s="5">
        <f>L12*K14</f>
        <v>365821</v>
      </c>
      <c r="M15" s="28" t="s">
        <v>87</v>
      </c>
    </row>
    <row r="16" spans="1:13" ht="16.899999999999999" customHeight="1" x14ac:dyDescent="0.45">
      <c r="A16" s="81"/>
      <c r="B16" s="2" t="s">
        <v>63</v>
      </c>
      <c r="C16" s="2" t="s">
        <v>56</v>
      </c>
      <c r="D16" s="57">
        <v>1</v>
      </c>
      <c r="E16" s="58"/>
      <c r="F16" s="29"/>
      <c r="H16" s="74" t="s">
        <v>84</v>
      </c>
      <c r="I16" s="76"/>
      <c r="J16" s="2" t="s">
        <v>23</v>
      </c>
      <c r="K16" s="5">
        <f>K10/(K12*K14)</f>
        <v>1.0277455616022839</v>
      </c>
      <c r="L16" s="5">
        <f>L8/(L12*K14)</f>
        <v>0.93955787119930267</v>
      </c>
      <c r="M16" s="28" t="s">
        <v>87</v>
      </c>
    </row>
    <row r="17" spans="1:13" ht="16.899999999999999" customHeight="1" x14ac:dyDescent="0.45">
      <c r="A17" s="20" t="s">
        <v>72</v>
      </c>
      <c r="B17" s="20"/>
      <c r="C17" s="2" t="s">
        <v>66</v>
      </c>
      <c r="D17" s="2">
        <f>ABS(D12-D13)*D14*D15*D16</f>
        <v>4068000</v>
      </c>
      <c r="E17" s="2">
        <f>ABS(E12-E13)*E14*D15*D16</f>
        <v>2380000</v>
      </c>
      <c r="F17" s="29"/>
      <c r="H17" s="74" t="s">
        <v>85</v>
      </c>
      <c r="I17" s="76"/>
      <c r="J17" s="2" t="s">
        <v>23</v>
      </c>
      <c r="K17" s="5">
        <f>K10/(K12*K13)</f>
        <v>1.1395785933326739</v>
      </c>
      <c r="L17" s="5">
        <f>L8/(L12*K13)</f>
        <v>1.0417948539195749</v>
      </c>
      <c r="M17" s="28" t="s">
        <v>88</v>
      </c>
    </row>
    <row r="18" spans="1:13" x14ac:dyDescent="0.45">
      <c r="A18" s="83" t="s">
        <v>74</v>
      </c>
      <c r="B18" s="54"/>
      <c r="C18" s="2" t="s">
        <v>23</v>
      </c>
      <c r="D18" s="5">
        <f>D10/D17</f>
        <v>0.72998230088495575</v>
      </c>
      <c r="E18" s="5">
        <f>E8/E17</f>
        <v>0.28739495798319326</v>
      </c>
      <c r="F18" s="29"/>
      <c r="H18" s="74" t="s">
        <v>76</v>
      </c>
      <c r="I18" s="76"/>
      <c r="J18" s="2" t="s">
        <v>23</v>
      </c>
      <c r="K18" s="26"/>
      <c r="L18" s="27"/>
      <c r="M18" s="28" t="s">
        <v>87</v>
      </c>
    </row>
    <row r="19" spans="1:13" x14ac:dyDescent="0.45">
      <c r="A19" s="83" t="s">
        <v>76</v>
      </c>
      <c r="B19" s="83"/>
      <c r="C19" s="2" t="s">
        <v>23</v>
      </c>
      <c r="D19" s="25">
        <v>0.73</v>
      </c>
      <c r="E19" s="25">
        <v>0.7</v>
      </c>
      <c r="F19" s="29"/>
      <c r="H19" s="74" t="s">
        <v>75</v>
      </c>
      <c r="I19" s="76"/>
      <c r="J19" s="2" t="s">
        <v>23</v>
      </c>
      <c r="K19" s="78">
        <f>L16/K16</f>
        <v>0.91419307103064096</v>
      </c>
      <c r="L19" s="79"/>
      <c r="M19" s="28" t="s">
        <v>87</v>
      </c>
    </row>
    <row r="20" spans="1:13" x14ac:dyDescent="0.45">
      <c r="A20" s="83" t="s">
        <v>75</v>
      </c>
      <c r="B20" s="83"/>
      <c r="C20" s="2" t="s">
        <v>23</v>
      </c>
      <c r="D20" s="69">
        <f>E18/D18</f>
        <v>0.39370126869485061</v>
      </c>
      <c r="E20" s="69"/>
      <c r="F20" s="29"/>
      <c r="H20" s="74" t="s">
        <v>77</v>
      </c>
      <c r="I20" s="76"/>
      <c r="J20" s="20"/>
      <c r="K20" s="78" t="e">
        <f>L16/L18</f>
        <v>#DIV/0!</v>
      </c>
      <c r="L20" s="79"/>
      <c r="M20" s="28" t="s">
        <v>87</v>
      </c>
    </row>
    <row r="21" spans="1:13" x14ac:dyDescent="0.45">
      <c r="A21" s="83" t="s">
        <v>77</v>
      </c>
      <c r="B21" s="83"/>
      <c r="C21" s="2" t="s">
        <v>23</v>
      </c>
      <c r="D21" s="86">
        <f>E18/E19</f>
        <v>0.41056422569027612</v>
      </c>
      <c r="E21" s="87"/>
      <c r="F21" s="29"/>
    </row>
    <row r="24" spans="1:13" ht="24.65" customHeight="1" x14ac:dyDescent="0.45">
      <c r="A24" s="74" t="s">
        <v>89</v>
      </c>
      <c r="B24" s="75"/>
      <c r="C24" s="75"/>
      <c r="D24" s="75"/>
      <c r="E24" s="75"/>
      <c r="F24" s="76"/>
      <c r="H24" s="74" t="s">
        <v>223</v>
      </c>
      <c r="I24" s="75"/>
      <c r="J24" s="75"/>
      <c r="K24" s="75"/>
      <c r="L24" s="75"/>
      <c r="M24" s="76"/>
    </row>
    <row r="25" spans="1:13" x14ac:dyDescent="0.45">
      <c r="A25" s="77" t="s">
        <v>61</v>
      </c>
      <c r="B25" s="77"/>
      <c r="C25" s="21" t="s">
        <v>60</v>
      </c>
      <c r="D25" s="21" t="s">
        <v>68</v>
      </c>
      <c r="E25" s="21" t="s">
        <v>58</v>
      </c>
      <c r="F25" s="21" t="s">
        <v>59</v>
      </c>
      <c r="H25" s="77" t="s">
        <v>61</v>
      </c>
      <c r="I25" s="77"/>
      <c r="J25" s="21" t="s">
        <v>60</v>
      </c>
      <c r="K25" s="21" t="s">
        <v>68</v>
      </c>
      <c r="L25" s="21" t="s">
        <v>58</v>
      </c>
      <c r="M25" s="21" t="s">
        <v>59</v>
      </c>
    </row>
    <row r="26" spans="1:13" x14ac:dyDescent="0.45">
      <c r="A26" s="55" t="s">
        <v>57</v>
      </c>
      <c r="B26" s="2" t="s">
        <v>50</v>
      </c>
      <c r="C26" s="2" t="s">
        <v>53</v>
      </c>
      <c r="D26" s="24">
        <v>12</v>
      </c>
      <c r="E26" s="24">
        <v>12</v>
      </c>
      <c r="F26" s="28"/>
      <c r="H26" s="55" t="s">
        <v>148</v>
      </c>
      <c r="I26" s="2" t="s">
        <v>50</v>
      </c>
      <c r="J26" s="2" t="s">
        <v>53</v>
      </c>
      <c r="K26" s="24">
        <v>55.6</v>
      </c>
      <c r="L26" s="24">
        <v>48.8</v>
      </c>
      <c r="M26" s="28"/>
    </row>
    <row r="27" spans="1:13" x14ac:dyDescent="0.45">
      <c r="A27" s="54"/>
      <c r="B27" s="2" t="s">
        <v>51</v>
      </c>
      <c r="C27" s="2" t="s">
        <v>52</v>
      </c>
      <c r="D27" s="24">
        <v>7</v>
      </c>
      <c r="E27" s="24">
        <v>8</v>
      </c>
      <c r="F27" s="28"/>
      <c r="H27" s="54"/>
      <c r="I27" s="2" t="s">
        <v>51</v>
      </c>
      <c r="J27" s="2" t="s">
        <v>52</v>
      </c>
      <c r="K27" s="24">
        <v>60</v>
      </c>
      <c r="L27" s="24">
        <v>51.1</v>
      </c>
      <c r="M27" s="28"/>
    </row>
    <row r="28" spans="1:13" x14ac:dyDescent="0.45">
      <c r="A28" s="54"/>
      <c r="B28" s="2" t="s">
        <v>62</v>
      </c>
      <c r="C28" s="2" t="s">
        <v>55</v>
      </c>
      <c r="D28" s="24">
        <v>303</v>
      </c>
      <c r="E28" s="24">
        <v>250</v>
      </c>
      <c r="F28" s="28"/>
      <c r="H28" s="54"/>
      <c r="I28" s="2" t="s">
        <v>62</v>
      </c>
      <c r="J28" s="2" t="s">
        <v>55</v>
      </c>
      <c r="K28" s="24">
        <v>423.4</v>
      </c>
      <c r="L28" s="24">
        <v>501.14</v>
      </c>
      <c r="M28" s="28"/>
    </row>
    <row r="29" spans="1:13" x14ac:dyDescent="0.45">
      <c r="A29" s="54"/>
      <c r="B29" s="2" t="s">
        <v>64</v>
      </c>
      <c r="C29" s="2" t="s">
        <v>65</v>
      </c>
      <c r="D29" s="57">
        <v>1000</v>
      </c>
      <c r="E29" s="58"/>
      <c r="F29" s="28"/>
      <c r="H29" s="54"/>
      <c r="I29" s="2" t="s">
        <v>64</v>
      </c>
      <c r="J29" s="2" t="s">
        <v>65</v>
      </c>
      <c r="K29" s="57">
        <v>1000</v>
      </c>
      <c r="L29" s="58"/>
      <c r="M29" s="28"/>
    </row>
    <row r="30" spans="1:13" x14ac:dyDescent="0.45">
      <c r="A30" s="54"/>
      <c r="B30" s="2" t="s">
        <v>63</v>
      </c>
      <c r="C30" s="2" t="s">
        <v>56</v>
      </c>
      <c r="D30" s="57">
        <v>1</v>
      </c>
      <c r="E30" s="58"/>
      <c r="F30" s="28"/>
      <c r="H30" s="54"/>
      <c r="I30" s="2" t="s">
        <v>63</v>
      </c>
      <c r="J30" s="2" t="s">
        <v>56</v>
      </c>
      <c r="K30" s="57">
        <v>1</v>
      </c>
      <c r="L30" s="58"/>
      <c r="M30" s="36"/>
    </row>
    <row r="31" spans="1:13" x14ac:dyDescent="0.45">
      <c r="A31" s="20" t="s">
        <v>67</v>
      </c>
      <c r="B31" s="20"/>
      <c r="C31" s="2" t="s">
        <v>66</v>
      </c>
      <c r="D31" s="2">
        <f>ABS((D27-D26)*D28*D29*D30)</f>
        <v>1515000</v>
      </c>
      <c r="E31" s="2">
        <f>ABS((E27-E26)*E28*D29*D30)</f>
        <v>1000000</v>
      </c>
      <c r="F31" s="29"/>
      <c r="H31" s="20" t="s">
        <v>86</v>
      </c>
      <c r="I31" s="20"/>
      <c r="J31" s="2" t="s">
        <v>66</v>
      </c>
      <c r="K31" s="2">
        <f>ABS((K27-K26)*K28*K29*K30)</f>
        <v>1862959.9999999993</v>
      </c>
      <c r="L31" s="2">
        <f>ABS((L27-L26)*L28*K29*K30)</f>
        <v>1152622.0000000021</v>
      </c>
      <c r="M31" s="37"/>
    </row>
    <row r="32" spans="1:13" x14ac:dyDescent="0.45">
      <c r="A32" s="54" t="s">
        <v>90</v>
      </c>
      <c r="B32" s="54"/>
      <c r="C32" s="2" t="s">
        <v>69</v>
      </c>
      <c r="D32" s="68">
        <v>500</v>
      </c>
      <c r="E32" s="68"/>
      <c r="F32" s="29"/>
      <c r="H32" s="54" t="s">
        <v>149</v>
      </c>
      <c r="I32" s="54"/>
      <c r="J32" s="88" t="s">
        <v>66</v>
      </c>
      <c r="K32" s="89">
        <v>1856000</v>
      </c>
      <c r="L32" s="90"/>
      <c r="M32" s="72"/>
    </row>
    <row r="33" spans="1:15" x14ac:dyDescent="0.45">
      <c r="A33" s="54"/>
      <c r="B33" s="54"/>
      <c r="C33" s="2" t="s">
        <v>66</v>
      </c>
      <c r="D33" s="54">
        <f>D32*3024</f>
        <v>1512000</v>
      </c>
      <c r="E33" s="54"/>
      <c r="F33" s="29"/>
      <c r="H33" s="54"/>
      <c r="I33" s="54"/>
      <c r="J33" s="67"/>
      <c r="K33" s="91"/>
      <c r="L33" s="92"/>
      <c r="M33" s="73"/>
    </row>
    <row r="34" spans="1:15" x14ac:dyDescent="0.45">
      <c r="A34" s="83" t="s">
        <v>70</v>
      </c>
      <c r="B34" s="83"/>
      <c r="C34" s="2" t="s">
        <v>71</v>
      </c>
      <c r="D34" s="69">
        <f>E31/D33</f>
        <v>0.66137566137566139</v>
      </c>
      <c r="E34" s="69"/>
      <c r="F34" s="29"/>
      <c r="H34" s="83" t="s">
        <v>70</v>
      </c>
      <c r="I34" s="83"/>
      <c r="J34" s="2" t="s">
        <v>71</v>
      </c>
      <c r="K34" s="69">
        <f>L31/K32</f>
        <v>0.62102478448275977</v>
      </c>
      <c r="L34" s="69"/>
      <c r="M34" s="29"/>
    </row>
    <row r="35" spans="1:15" ht="17.5" customHeight="1" x14ac:dyDescent="0.45">
      <c r="A35" s="84" t="s">
        <v>92</v>
      </c>
      <c r="B35" s="85"/>
      <c r="C35" s="2" t="s">
        <v>91</v>
      </c>
      <c r="D35" s="24">
        <v>330</v>
      </c>
      <c r="E35" s="24">
        <v>300</v>
      </c>
      <c r="F35" s="29"/>
      <c r="H35" s="65" t="s">
        <v>78</v>
      </c>
      <c r="I35" s="2" t="s">
        <v>62</v>
      </c>
      <c r="J35" s="2" t="s">
        <v>82</v>
      </c>
      <c r="K35" s="24">
        <v>203</v>
      </c>
      <c r="L35" s="24">
        <v>50.283999999999999</v>
      </c>
      <c r="M35" s="29"/>
    </row>
    <row r="36" spans="1:15" x14ac:dyDescent="0.45">
      <c r="A36" s="20" t="s">
        <v>72</v>
      </c>
      <c r="B36" s="20"/>
      <c r="C36" s="2" t="s">
        <v>66</v>
      </c>
      <c r="D36" s="2">
        <f>D35*860</f>
        <v>283800</v>
      </c>
      <c r="E36" s="2">
        <f>E35*860</f>
        <v>258000</v>
      </c>
      <c r="F36" s="29"/>
      <c r="H36" s="80"/>
      <c r="I36" s="23" t="s">
        <v>80</v>
      </c>
      <c r="J36" s="2" t="s">
        <v>79</v>
      </c>
      <c r="K36" s="70">
        <v>9190</v>
      </c>
      <c r="L36" s="71"/>
      <c r="M36" s="72" t="s">
        <v>221</v>
      </c>
      <c r="O36" s="1"/>
    </row>
    <row r="37" spans="1:15" x14ac:dyDescent="0.45">
      <c r="A37" s="83" t="s">
        <v>74</v>
      </c>
      <c r="B37" s="54"/>
      <c r="C37" s="2" t="s">
        <v>23</v>
      </c>
      <c r="D37" s="5">
        <f>D31/D36</f>
        <v>5.338266384778013</v>
      </c>
      <c r="E37" s="5">
        <f>E31/E36</f>
        <v>3.8759689922480618</v>
      </c>
      <c r="F37" s="29"/>
      <c r="H37" s="81"/>
      <c r="I37" s="23" t="s">
        <v>83</v>
      </c>
      <c r="J37" s="2" t="s">
        <v>79</v>
      </c>
      <c r="K37" s="82">
        <v>10190</v>
      </c>
      <c r="L37" s="82"/>
      <c r="M37" s="73"/>
    </row>
    <row r="38" spans="1:15" x14ac:dyDescent="0.45">
      <c r="A38" s="83" t="s">
        <v>76</v>
      </c>
      <c r="B38" s="83"/>
      <c r="C38" s="2" t="s">
        <v>23</v>
      </c>
      <c r="D38" s="25">
        <v>0.73</v>
      </c>
      <c r="E38" s="25">
        <v>5</v>
      </c>
      <c r="F38" s="29"/>
      <c r="H38" s="20" t="s">
        <v>81</v>
      </c>
      <c r="I38" s="20"/>
      <c r="J38" s="2" t="s">
        <v>66</v>
      </c>
      <c r="K38" s="5">
        <f>K35*K37</f>
        <v>2068570</v>
      </c>
      <c r="L38" s="5">
        <f>L35*K37</f>
        <v>512393.95999999996</v>
      </c>
      <c r="M38" s="28" t="s">
        <v>87</v>
      </c>
    </row>
    <row r="39" spans="1:15" x14ac:dyDescent="0.45">
      <c r="A39" s="83" t="s">
        <v>75</v>
      </c>
      <c r="B39" s="83"/>
      <c r="C39" s="2" t="s">
        <v>23</v>
      </c>
      <c r="D39" s="69">
        <f>E37/D37</f>
        <v>0.72607260726072598</v>
      </c>
      <c r="E39" s="69"/>
      <c r="F39" s="29"/>
      <c r="H39" s="74" t="s">
        <v>84</v>
      </c>
      <c r="I39" s="76"/>
      <c r="J39" s="2" t="s">
        <v>23</v>
      </c>
      <c r="K39" s="5">
        <f>K32/(K35*K37)</f>
        <v>0.89723818870040661</v>
      </c>
      <c r="L39" s="5">
        <f>L31/(L35*K37)</f>
        <v>2.2494839712786665</v>
      </c>
      <c r="M39" s="28" t="s">
        <v>87</v>
      </c>
    </row>
    <row r="40" spans="1:15" x14ac:dyDescent="0.45">
      <c r="A40" s="83" t="s">
        <v>77</v>
      </c>
      <c r="B40" s="83"/>
      <c r="C40" s="2" t="s">
        <v>23</v>
      </c>
      <c r="D40" s="78">
        <f>E37/E38</f>
        <v>0.77519379844961234</v>
      </c>
      <c r="E40" s="79"/>
      <c r="F40" s="29"/>
      <c r="H40" s="74" t="s">
        <v>85</v>
      </c>
      <c r="I40" s="76"/>
      <c r="J40" s="2" t="s">
        <v>23</v>
      </c>
      <c r="K40" s="5">
        <f>K32/(K35*K36)</f>
        <v>0.99487020052852482</v>
      </c>
      <c r="L40" s="5">
        <f>L31/(L35*K36)</f>
        <v>2.4942591585777598</v>
      </c>
      <c r="M40" s="28" t="s">
        <v>88</v>
      </c>
    </row>
    <row r="41" spans="1:15" x14ac:dyDescent="0.45">
      <c r="H41" s="74" t="s">
        <v>76</v>
      </c>
      <c r="I41" s="76"/>
      <c r="J41" s="2" t="s">
        <v>23</v>
      </c>
      <c r="K41" s="26"/>
      <c r="L41" s="27"/>
      <c r="M41" s="28" t="s">
        <v>87</v>
      </c>
    </row>
    <row r="42" spans="1:15" x14ac:dyDescent="0.45">
      <c r="H42" s="74" t="s">
        <v>75</v>
      </c>
      <c r="I42" s="76"/>
      <c r="J42" s="2" t="s">
        <v>23</v>
      </c>
      <c r="K42" s="78">
        <f>L39/K39</f>
        <v>2.5071201823641762</v>
      </c>
      <c r="L42" s="79"/>
      <c r="M42" s="28" t="s">
        <v>87</v>
      </c>
    </row>
    <row r="43" spans="1:15" x14ac:dyDescent="0.45">
      <c r="H43" s="74" t="s">
        <v>77</v>
      </c>
      <c r="I43" s="76"/>
      <c r="J43" s="20"/>
      <c r="K43" s="78" t="e">
        <f>L39/L41</f>
        <v>#DIV/0!</v>
      </c>
      <c r="L43" s="79"/>
      <c r="M43" s="28" t="s">
        <v>87</v>
      </c>
    </row>
  </sheetData>
  <sheetProtection algorithmName="SHA-512" hashValue="zD6unex5pdB9JQPJWd/Moh5Oj3KtwBgRqQDRQbG2NfNCcLcCEPsjaM4vQY5iCZsu/WQ6df+n9Jo3LhnBar9Xqw==" saltValue="VohZXq0uyaYoWme2TG5g/A==" spinCount="100000" sheet="1" objects="1" scenarios="1"/>
  <mergeCells count="79">
    <mergeCell ref="H43:I43"/>
    <mergeCell ref="K43:L43"/>
    <mergeCell ref="J32:J33"/>
    <mergeCell ref="K32:L33"/>
    <mergeCell ref="M32:M33"/>
    <mergeCell ref="H39:I39"/>
    <mergeCell ref="H40:I40"/>
    <mergeCell ref="H41:I41"/>
    <mergeCell ref="H42:I42"/>
    <mergeCell ref="K42:L42"/>
    <mergeCell ref="H34:I34"/>
    <mergeCell ref="K34:L34"/>
    <mergeCell ref="H35:H37"/>
    <mergeCell ref="K36:L36"/>
    <mergeCell ref="K37:L37"/>
    <mergeCell ref="H32:I33"/>
    <mergeCell ref="A9:B10"/>
    <mergeCell ref="D10:E10"/>
    <mergeCell ref="D9:E9"/>
    <mergeCell ref="H11:I11"/>
    <mergeCell ref="A21:B21"/>
    <mergeCell ref="A19:B19"/>
    <mergeCell ref="D21:E21"/>
    <mergeCell ref="D16:E16"/>
    <mergeCell ref="D15:E15"/>
    <mergeCell ref="A18:B18"/>
    <mergeCell ref="A20:B20"/>
    <mergeCell ref="D20:E20"/>
    <mergeCell ref="A11:B11"/>
    <mergeCell ref="D11:E11"/>
    <mergeCell ref="H9:I10"/>
    <mergeCell ref="H16:I16"/>
    <mergeCell ref="D6:E6"/>
    <mergeCell ref="D7:E7"/>
    <mergeCell ref="A3:A7"/>
    <mergeCell ref="A2:B2"/>
    <mergeCell ref="A1:F1"/>
    <mergeCell ref="A39:B39"/>
    <mergeCell ref="A40:B40"/>
    <mergeCell ref="D40:E40"/>
    <mergeCell ref="D33:E33"/>
    <mergeCell ref="D34:E34"/>
    <mergeCell ref="A35:B35"/>
    <mergeCell ref="A32:B33"/>
    <mergeCell ref="D32:E32"/>
    <mergeCell ref="A34:B34"/>
    <mergeCell ref="D39:E39"/>
    <mergeCell ref="A38:B38"/>
    <mergeCell ref="A37:B37"/>
    <mergeCell ref="H17:I17"/>
    <mergeCell ref="K20:L20"/>
    <mergeCell ref="A12:A16"/>
    <mergeCell ref="A24:F24"/>
    <mergeCell ref="A25:B25"/>
    <mergeCell ref="K14:L14"/>
    <mergeCell ref="H12:H14"/>
    <mergeCell ref="H18:I18"/>
    <mergeCell ref="A26:A30"/>
    <mergeCell ref="D29:E29"/>
    <mergeCell ref="H19:I19"/>
    <mergeCell ref="H20:I20"/>
    <mergeCell ref="K19:L19"/>
    <mergeCell ref="H24:M24"/>
    <mergeCell ref="H25:I25"/>
    <mergeCell ref="D30:E30"/>
    <mergeCell ref="H26:H30"/>
    <mergeCell ref="K29:L29"/>
    <mergeCell ref="K30:L30"/>
    <mergeCell ref="H1:M1"/>
    <mergeCell ref="H2:I2"/>
    <mergeCell ref="H3:H7"/>
    <mergeCell ref="K6:L6"/>
    <mergeCell ref="K7:L7"/>
    <mergeCell ref="K9:L9"/>
    <mergeCell ref="K10:L10"/>
    <mergeCell ref="K11:L11"/>
    <mergeCell ref="K13:L13"/>
    <mergeCell ref="M36:M37"/>
    <mergeCell ref="M13:M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3610-C1BB-407C-9E5E-14BF70BF7E50}">
  <dimension ref="A1:K215"/>
  <sheetViews>
    <sheetView zoomScale="115" zoomScaleNormal="11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74" sqref="I74"/>
    </sheetView>
  </sheetViews>
  <sheetFormatPr defaultRowHeight="17" x14ac:dyDescent="0.45"/>
  <cols>
    <col min="1" max="1" width="16.75" style="1" customWidth="1"/>
    <col min="2" max="2" width="20.75" style="38" hidden="1" customWidth="1"/>
    <col min="3" max="4" width="20.75" style="2" hidden="1" customWidth="1"/>
    <col min="5" max="5" width="20.75" style="2" customWidth="1"/>
    <col min="6" max="6" width="21.75" style="2" customWidth="1"/>
    <col min="7" max="7" width="21.75" style="2" hidden="1" customWidth="1"/>
    <col min="8" max="8" width="21.75" style="2" customWidth="1"/>
    <col min="9" max="9" width="24.58203125" customWidth="1"/>
    <col min="10" max="10" width="25.25" style="1" bestFit="1" customWidth="1"/>
    <col min="11" max="11" width="56" style="1" bestFit="1" customWidth="1"/>
  </cols>
  <sheetData>
    <row r="1" spans="1:11" x14ac:dyDescent="0.45">
      <c r="A1" s="3"/>
      <c r="B1" s="17"/>
      <c r="C1" s="1"/>
      <c r="D1" s="1"/>
      <c r="E1" s="1"/>
      <c r="F1" s="1"/>
      <c r="G1" s="1"/>
      <c r="H1" s="1"/>
      <c r="I1" s="1"/>
      <c r="J1" s="19"/>
    </row>
    <row r="2" spans="1:11" x14ac:dyDescent="0.45">
      <c r="B2" s="1"/>
      <c r="C2" s="1"/>
      <c r="D2" s="10"/>
      <c r="E2" s="1"/>
      <c r="F2" s="1"/>
      <c r="G2" s="1"/>
      <c r="H2" s="10" t="s">
        <v>236</v>
      </c>
    </row>
    <row r="3" spans="1:11" x14ac:dyDescent="0.45">
      <c r="A3" s="95"/>
      <c r="B3" s="65" t="s">
        <v>16</v>
      </c>
      <c r="C3" s="65" t="s">
        <v>17</v>
      </c>
      <c r="D3" s="88" t="s">
        <v>25</v>
      </c>
      <c r="E3" s="88" t="s">
        <v>157</v>
      </c>
      <c r="F3" s="88" t="s">
        <v>26</v>
      </c>
      <c r="G3" s="88" t="s">
        <v>20</v>
      </c>
      <c r="H3" s="88" t="s">
        <v>0</v>
      </c>
      <c r="I3" s="88" t="s">
        <v>110</v>
      </c>
      <c r="J3" s="88" t="s">
        <v>121</v>
      </c>
      <c r="K3" s="88" t="s">
        <v>59</v>
      </c>
    </row>
    <row r="4" spans="1:11" x14ac:dyDescent="0.45">
      <c r="A4" s="95"/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1" x14ac:dyDescent="0.45">
      <c r="A5" s="6" t="s">
        <v>2</v>
      </c>
      <c r="B5" s="4">
        <v>2.25</v>
      </c>
      <c r="C5" s="4">
        <v>3.7</v>
      </c>
      <c r="D5" s="4"/>
      <c r="E5" s="4">
        <v>200.09</v>
      </c>
      <c r="F5" s="16">
        <v>280</v>
      </c>
      <c r="G5" s="5">
        <f>IFERROR(POWER((B5/C5)*F5^3,1/3),0)</f>
        <v>237.22017904348428</v>
      </c>
      <c r="H5" s="2" t="str">
        <f>IF(OR(E5&lt;F5*0.8,E5&gt;F5*1.2),"불합격","합격")</f>
        <v>불합격</v>
      </c>
      <c r="I5" s="30">
        <f>IFERROR(E5/F5,"-")</f>
        <v>0.71460714285714289</v>
      </c>
      <c r="J5" s="2" t="str">
        <f>A5</f>
        <v>예시1</v>
      </c>
      <c r="K5" s="2"/>
    </row>
    <row r="6" spans="1:11" hidden="1" x14ac:dyDescent="0.45">
      <c r="B6" s="8"/>
      <c r="C6" s="8"/>
      <c r="D6" s="8"/>
      <c r="E6" s="8"/>
      <c r="F6" s="8"/>
      <c r="G6" s="11"/>
      <c r="H6" s="11"/>
      <c r="I6" s="20"/>
      <c r="J6" s="2"/>
      <c r="K6" s="2"/>
    </row>
    <row r="7" spans="1:11" hidden="1" x14ac:dyDescent="0.45">
      <c r="A7" s="6"/>
      <c r="B7" s="4"/>
      <c r="C7" s="4"/>
      <c r="D7" s="4"/>
      <c r="E7" s="4"/>
      <c r="F7" s="16">
        <f>IFERROR(D7/60,"-")</f>
        <v>0</v>
      </c>
      <c r="G7" s="5">
        <f t="shared" ref="G7:G12" si="0">IFERROR(POWER((B7/C7)*F7^3,1/3),0)</f>
        <v>0</v>
      </c>
      <c r="H7" s="2" t="e">
        <f>IF(OR(#REF!&lt;F7*0.9,#REF!&gt;F7*1.1),"불합격","합격")</f>
        <v>#REF!</v>
      </c>
      <c r="I7" s="20"/>
      <c r="J7" s="2"/>
      <c r="K7" s="2"/>
    </row>
    <row r="8" spans="1:11" hidden="1" x14ac:dyDescent="0.45">
      <c r="A8" s="7"/>
      <c r="B8" s="2"/>
      <c r="E8" s="5"/>
      <c r="F8" s="5">
        <f>IFERROR(D8/60,"-")</f>
        <v>0</v>
      </c>
      <c r="G8" s="5">
        <f t="shared" si="0"/>
        <v>0</v>
      </c>
      <c r="H8" s="2" t="e">
        <f>IF(OR(#REF!&lt;F8*0.9,#REF!&gt;F8*1.1),"불합격","합격")</f>
        <v>#REF!</v>
      </c>
      <c r="I8" s="20"/>
      <c r="J8" s="2"/>
      <c r="K8" s="2"/>
    </row>
    <row r="9" spans="1:11" hidden="1" x14ac:dyDescent="0.45">
      <c r="A9" s="1" t="s">
        <v>22</v>
      </c>
      <c r="B9" s="5">
        <f>3*0.75</f>
        <v>2.25</v>
      </c>
      <c r="C9" s="2">
        <v>2.25</v>
      </c>
      <c r="D9" s="2" t="s">
        <v>23</v>
      </c>
      <c r="E9" s="5">
        <v>200.09</v>
      </c>
      <c r="F9" s="5">
        <v>280</v>
      </c>
      <c r="G9" s="5">
        <f t="shared" si="0"/>
        <v>279.99999999999989</v>
      </c>
      <c r="H9" s="2" t="e">
        <f>IF(OR(#REF!&lt;F9*0.9,#REF!&gt;F9*1.1),"불합격","합격")</f>
        <v>#REF!</v>
      </c>
      <c r="I9" s="30" t="str">
        <f>IFERROR(#REF!/F9,"-")</f>
        <v>-</v>
      </c>
      <c r="J9" s="2" t="str">
        <f>A9</f>
        <v>남도학숙</v>
      </c>
      <c r="K9" s="2"/>
    </row>
    <row r="10" spans="1:11" hidden="1" x14ac:dyDescent="0.45">
      <c r="A10" s="1" t="s">
        <v>22</v>
      </c>
      <c r="B10" s="5">
        <v>1.9550000000000001</v>
      </c>
      <c r="C10" s="2">
        <f>5*0.75</f>
        <v>3.75</v>
      </c>
      <c r="D10" s="2" t="s">
        <v>23</v>
      </c>
      <c r="E10" s="5">
        <v>192.45</v>
      </c>
      <c r="F10" s="5">
        <v>350</v>
      </c>
      <c r="G10" s="5">
        <f t="shared" si="0"/>
        <v>281.69115403195843</v>
      </c>
      <c r="H10" s="2" t="e">
        <f>IF(OR(#REF!&lt;F10*0.9,#REF!&gt;F10*1.1),"불합격","합격")</f>
        <v>#REF!</v>
      </c>
      <c r="I10" s="30" t="str">
        <f>IFERROR(#REF!/F10,"-")</f>
        <v>-</v>
      </c>
      <c r="J10" s="2" t="str">
        <f>A10</f>
        <v>남도학숙</v>
      </c>
      <c r="K10" s="2"/>
    </row>
    <row r="11" spans="1:11" hidden="1" x14ac:dyDescent="0.45">
      <c r="A11" s="1" t="s">
        <v>27</v>
      </c>
      <c r="B11" s="5">
        <v>2.4209999999999998</v>
      </c>
      <c r="C11" s="2">
        <v>3.7</v>
      </c>
      <c r="D11" s="2">
        <v>8880</v>
      </c>
      <c r="E11" s="5">
        <v>134.69</v>
      </c>
      <c r="F11" s="5">
        <f t="shared" ref="F11:F69" si="1">IFERROR(D11/60,"-")</f>
        <v>148</v>
      </c>
      <c r="G11" s="5">
        <f t="shared" si="0"/>
        <v>128.48706355358604</v>
      </c>
      <c r="H11" s="2" t="e">
        <f>IF(OR(#REF!&lt;F11*0.9,#REF!&gt;F11*1.1),"불합격","합격")</f>
        <v>#REF!</v>
      </c>
      <c r="I11" s="30" t="str">
        <f>IFERROR(#REF!/F11,"-")</f>
        <v>-</v>
      </c>
      <c r="J11" s="2" t="str">
        <f>A11</f>
        <v>다산헤리움 그랑비스타1차</v>
      </c>
      <c r="K11" s="2"/>
    </row>
    <row r="12" spans="1:11" hidden="1" x14ac:dyDescent="0.45">
      <c r="A12" s="1" t="s">
        <v>27</v>
      </c>
      <c r="B12" s="5">
        <v>2.5670000000000002</v>
      </c>
      <c r="C12" s="2">
        <v>3.7</v>
      </c>
      <c r="D12" s="2">
        <v>9300</v>
      </c>
      <c r="E12" s="5">
        <v>95.167000000000002</v>
      </c>
      <c r="F12" s="5">
        <f t="shared" si="1"/>
        <v>155</v>
      </c>
      <c r="G12" s="5">
        <f t="shared" si="0"/>
        <v>137.21652385929966</v>
      </c>
      <c r="H12" s="2" t="e">
        <f>IF(OR(#REF!&lt;F12*0.9,#REF!&gt;F12*1.1),"불합격","합격")</f>
        <v>#REF!</v>
      </c>
      <c r="I12" s="30" t="str">
        <f>IFERROR(#REF!/F12,"-")</f>
        <v>-</v>
      </c>
      <c r="J12" s="2" t="str">
        <f>A12</f>
        <v>다산헤리움 그랑비스타1차</v>
      </c>
      <c r="K12" s="2"/>
    </row>
    <row r="13" spans="1:11" hidden="1" x14ac:dyDescent="0.45">
      <c r="A13" s="94" t="s">
        <v>30</v>
      </c>
      <c r="B13" s="94"/>
      <c r="C13" s="94"/>
      <c r="D13" s="94"/>
      <c r="E13" s="94"/>
      <c r="F13" s="94"/>
      <c r="G13" s="94"/>
      <c r="H13" s="94"/>
      <c r="I13" s="94"/>
      <c r="J13" s="94"/>
      <c r="K13" s="2"/>
    </row>
    <row r="14" spans="1:11" hidden="1" x14ac:dyDescent="0.45">
      <c r="A14" s="1" t="s">
        <v>35</v>
      </c>
      <c r="B14" s="5">
        <v>2.056</v>
      </c>
      <c r="C14" s="2">
        <v>2.25</v>
      </c>
      <c r="D14" s="2" t="s">
        <v>23</v>
      </c>
      <c r="E14" s="5">
        <v>77.64</v>
      </c>
      <c r="F14" s="5">
        <v>249</v>
      </c>
      <c r="G14" s="5">
        <f>IFERROR(POWER((B14/C14)*F14^3,1/3),0)</f>
        <v>241.62741692133969</v>
      </c>
      <c r="H14" s="2" t="e">
        <f>IF(OR(#REF!&lt;F14*0.9,#REF!&gt;F14*1.1),"불합격","합격")</f>
        <v>#REF!</v>
      </c>
      <c r="I14" s="30" t="str">
        <f>IFERROR(#REF!/F14,"-")</f>
        <v>-</v>
      </c>
      <c r="J14" s="2" t="str">
        <f>A14</f>
        <v>F-9-#1</v>
      </c>
      <c r="K14" s="2"/>
    </row>
    <row r="15" spans="1:11" hidden="1" x14ac:dyDescent="0.45">
      <c r="A15" s="1" t="s">
        <v>36</v>
      </c>
      <c r="B15" s="5">
        <v>1.954</v>
      </c>
      <c r="C15" s="2">
        <v>2.25</v>
      </c>
      <c r="D15" s="2" t="s">
        <v>23</v>
      </c>
      <c r="E15" s="5">
        <v>191.67</v>
      </c>
      <c r="F15" s="5">
        <v>249</v>
      </c>
      <c r="G15" s="5">
        <f>IFERROR(POWER((B15/C15)*F15^3,1/3),0)</f>
        <v>237.5636709128124</v>
      </c>
      <c r="H15" s="2" t="e">
        <f>IF(OR(#REF!&lt;F15*0.9,#REF!&gt;F15*1.1),"불합격","합격")</f>
        <v>#REF!</v>
      </c>
      <c r="I15" s="30" t="str">
        <f>IFERROR(#REF!/F15,"-")</f>
        <v>-</v>
      </c>
      <c r="J15" s="2" t="str">
        <f>A15</f>
        <v>F-9-#2</v>
      </c>
      <c r="K15" s="2"/>
    </row>
    <row r="16" spans="1:11" hidden="1" x14ac:dyDescent="0.45">
      <c r="A16" s="1" t="s">
        <v>37</v>
      </c>
      <c r="B16" s="5">
        <v>1.6970000000000001</v>
      </c>
      <c r="C16" s="2">
        <v>2.25</v>
      </c>
      <c r="D16" s="2" t="s">
        <v>23</v>
      </c>
      <c r="E16" s="5">
        <v>79.900000000000006</v>
      </c>
      <c r="F16" s="5">
        <v>249</v>
      </c>
      <c r="G16" s="5">
        <f>IFERROR(POWER((B16/C16)*F16^3,1/3),0)</f>
        <v>226.65525284606531</v>
      </c>
      <c r="H16" s="2" t="e">
        <f>IF(OR(#REF!&lt;F16*0.9,#REF!&gt;F16*1.1),"불합격","합격")</f>
        <v>#REF!</v>
      </c>
      <c r="I16" s="30" t="str">
        <f>IFERROR(#REF!/F16,"-")</f>
        <v>-</v>
      </c>
      <c r="J16" s="2" t="str">
        <f>A16</f>
        <v>F-9-#3</v>
      </c>
      <c r="K16" s="2"/>
    </row>
    <row r="17" spans="1:11" hidden="1" x14ac:dyDescent="0.45">
      <c r="A17" s="1" t="s">
        <v>38</v>
      </c>
      <c r="B17" s="5">
        <v>3.7170000000000001</v>
      </c>
      <c r="C17" s="2">
        <v>3.75</v>
      </c>
      <c r="D17" s="2" t="s">
        <v>23</v>
      </c>
      <c r="E17" s="5">
        <v>390.79</v>
      </c>
      <c r="F17" s="5">
        <v>358</v>
      </c>
      <c r="G17" s="5">
        <f>IFERROR(POWER((B17/C17)*F17^3,1/3),0)</f>
        <v>356.94677112694103</v>
      </c>
      <c r="H17" s="2" t="e">
        <f>IF(OR(#REF!&lt;F17*0.9,#REF!&gt;F17*1.1),"불합격","합격")</f>
        <v>#REF!</v>
      </c>
      <c r="I17" s="30" t="str">
        <f>IFERROR(#REF!/F17,"-")</f>
        <v>-</v>
      </c>
      <c r="J17" s="2" t="str">
        <f>A17</f>
        <v>F-13-#1</v>
      </c>
      <c r="K17" s="2"/>
    </row>
    <row r="18" spans="1:11" hidden="1" x14ac:dyDescent="0.45">
      <c r="A18" s="93" t="s">
        <v>39</v>
      </c>
      <c r="B18" s="93"/>
      <c r="C18" s="93"/>
      <c r="D18" s="93"/>
      <c r="E18" s="93"/>
      <c r="F18" s="93"/>
      <c r="G18" s="93"/>
      <c r="H18" s="93"/>
      <c r="I18" s="93"/>
      <c r="J18" s="93"/>
      <c r="K18" s="2"/>
    </row>
    <row r="19" spans="1:11" hidden="1" x14ac:dyDescent="0.45">
      <c r="A19" s="1" t="s">
        <v>41</v>
      </c>
      <c r="B19" s="5">
        <v>3.4870000000000001</v>
      </c>
      <c r="C19" s="2">
        <v>5.5</v>
      </c>
      <c r="D19" s="2" t="s">
        <v>23</v>
      </c>
      <c r="E19" s="5">
        <v>486.62</v>
      </c>
      <c r="F19" s="5">
        <v>584</v>
      </c>
      <c r="G19" s="5">
        <f t="shared" ref="G19:G26" si="2">IFERROR(POWER((B19/C19)*F19^3,1/3),0)</f>
        <v>501.69826570455456</v>
      </c>
      <c r="H19" s="2" t="e">
        <f>IF(OR(#REF!&lt;F19*0.9,#REF!&gt;F19*1.1),"불합격","합격")</f>
        <v>#REF!</v>
      </c>
      <c r="I19" s="30" t="str">
        <f>IFERROR(#REF!/F19,"-")</f>
        <v>-</v>
      </c>
      <c r="J19" s="2" t="str">
        <f t="shared" ref="J19:J26" si="3">A19</f>
        <v>OF-1-#1</v>
      </c>
      <c r="K19" s="2"/>
    </row>
    <row r="20" spans="1:11" hidden="1" x14ac:dyDescent="0.45">
      <c r="A20" s="1" t="s">
        <v>40</v>
      </c>
      <c r="B20" s="5">
        <v>5.96</v>
      </c>
      <c r="C20" s="2">
        <v>5.5</v>
      </c>
      <c r="D20" s="2" t="s">
        <v>23</v>
      </c>
      <c r="E20" s="5">
        <v>717</v>
      </c>
      <c r="F20" s="5">
        <v>584</v>
      </c>
      <c r="G20" s="5">
        <f t="shared" si="2"/>
        <v>599.84729377097301</v>
      </c>
      <c r="H20" s="2" t="e">
        <f>IF(OR(#REF!&lt;F20*0.9,#REF!&gt;F20*1.1),"불합격","합격")</f>
        <v>#REF!</v>
      </c>
      <c r="I20" s="30" t="str">
        <f>IFERROR(#REF!/F20,"-")</f>
        <v>-</v>
      </c>
      <c r="J20" s="2" t="str">
        <f t="shared" si="3"/>
        <v>OF-1-#2</v>
      </c>
      <c r="K20" s="2"/>
    </row>
    <row r="21" spans="1:11" hidden="1" x14ac:dyDescent="0.45">
      <c r="A21" s="1" t="s">
        <v>42</v>
      </c>
      <c r="B21" s="5">
        <v>9.5399999999999991</v>
      </c>
      <c r="C21" s="2">
        <v>7.5</v>
      </c>
      <c r="D21" s="2" t="s">
        <v>23</v>
      </c>
      <c r="E21" s="5">
        <v>789.47</v>
      </c>
      <c r="F21" s="5">
        <v>750</v>
      </c>
      <c r="G21" s="5">
        <f t="shared" si="2"/>
        <v>812.62522724657708</v>
      </c>
      <c r="H21" s="2" t="e">
        <f>IF(OR(#REF!&lt;F21*0.9,#REF!&gt;F21*1.1),"불합격","합격")</f>
        <v>#REF!</v>
      </c>
      <c r="I21" s="30" t="str">
        <f>IFERROR(#REF!/F21,"-")</f>
        <v>-</v>
      </c>
      <c r="J21" s="2" t="str">
        <f t="shared" si="3"/>
        <v>OF-2-#1</v>
      </c>
      <c r="K21" s="2"/>
    </row>
    <row r="22" spans="1:11" hidden="1" x14ac:dyDescent="0.45">
      <c r="A22" s="1" t="s">
        <v>43</v>
      </c>
      <c r="B22" s="5">
        <v>9.4339999999999993</v>
      </c>
      <c r="C22" s="2">
        <v>7.5</v>
      </c>
      <c r="D22" s="2" t="s">
        <v>23</v>
      </c>
      <c r="E22" s="5">
        <v>757.3</v>
      </c>
      <c r="F22" s="5">
        <v>750</v>
      </c>
      <c r="G22" s="5">
        <f t="shared" si="2"/>
        <v>809.60428773695492</v>
      </c>
      <c r="H22" s="2" t="e">
        <f>IF(OR(#REF!&lt;F22*0.9,#REF!&gt;F22*1.1),"불합격","합격")</f>
        <v>#REF!</v>
      </c>
      <c r="I22" s="30" t="str">
        <f>IFERROR(#REF!/F22,"-")</f>
        <v>-</v>
      </c>
      <c r="J22" s="2" t="str">
        <f t="shared" si="3"/>
        <v>OF-2-#2</v>
      </c>
      <c r="K22" s="2"/>
    </row>
    <row r="23" spans="1:11" hidden="1" x14ac:dyDescent="0.45">
      <c r="A23" s="1" t="s">
        <v>44</v>
      </c>
      <c r="B23" s="5">
        <v>9.0350000000000001</v>
      </c>
      <c r="C23" s="2">
        <v>7.5</v>
      </c>
      <c r="D23" s="2" t="s">
        <v>23</v>
      </c>
      <c r="E23" s="5">
        <v>881.71</v>
      </c>
      <c r="F23" s="5">
        <v>750</v>
      </c>
      <c r="G23" s="5">
        <f t="shared" si="2"/>
        <v>798.02573079261333</v>
      </c>
      <c r="H23" s="2" t="e">
        <f>IF(OR(#REF!&lt;F23*0.9,#REF!&gt;F23*1.1),"불합격","합격")</f>
        <v>#REF!</v>
      </c>
      <c r="I23" s="30" t="str">
        <f>IFERROR(#REF!/F23,"-")</f>
        <v>-</v>
      </c>
      <c r="J23" s="2" t="str">
        <f t="shared" si="3"/>
        <v>OF-3-#1</v>
      </c>
      <c r="K23" s="2"/>
    </row>
    <row r="24" spans="1:11" hidden="1" x14ac:dyDescent="0.45">
      <c r="A24" s="1" t="s">
        <v>45</v>
      </c>
      <c r="B24" s="5">
        <v>9.5839999999999996</v>
      </c>
      <c r="C24" s="2">
        <v>7.5</v>
      </c>
      <c r="D24" s="2" t="s">
        <v>23</v>
      </c>
      <c r="E24" s="5">
        <v>705.7</v>
      </c>
      <c r="F24" s="5">
        <v>750</v>
      </c>
      <c r="G24" s="5">
        <f t="shared" si="2"/>
        <v>813.87263047443184</v>
      </c>
      <c r="H24" s="2" t="e">
        <f>IF(OR(#REF!&lt;F24*0.9,#REF!&gt;F24*1.1),"불합격","합격")</f>
        <v>#REF!</v>
      </c>
      <c r="I24" s="30" t="str">
        <f>IFERROR(#REF!/F24,"-")</f>
        <v>-</v>
      </c>
      <c r="J24" s="2" t="str">
        <f t="shared" si="3"/>
        <v>OF-3-#2</v>
      </c>
      <c r="K24" s="2"/>
    </row>
    <row r="25" spans="1:11" hidden="1" x14ac:dyDescent="0.45">
      <c r="A25" s="1" t="s">
        <v>46</v>
      </c>
      <c r="B25" s="5">
        <v>6.7140000000000004</v>
      </c>
      <c r="C25" s="2">
        <v>5.5</v>
      </c>
      <c r="D25" s="2" t="s">
        <v>23</v>
      </c>
      <c r="E25" s="5">
        <v>521.34</v>
      </c>
      <c r="F25" s="5">
        <v>334</v>
      </c>
      <c r="G25" s="5">
        <f t="shared" si="2"/>
        <v>356.95983260922191</v>
      </c>
      <c r="H25" s="2" t="e">
        <f>IF(OR(#REF!&lt;F25*0.9,#REF!&gt;F25*1.1),"불합격","합격")</f>
        <v>#REF!</v>
      </c>
      <c r="I25" s="30" t="str">
        <f>IFERROR(#REF!/F25,"-")</f>
        <v>-</v>
      </c>
      <c r="J25" s="2" t="str">
        <f t="shared" si="3"/>
        <v>OF-4-#1</v>
      </c>
      <c r="K25" s="2"/>
    </row>
    <row r="26" spans="1:11" hidden="1" x14ac:dyDescent="0.45">
      <c r="A26" s="1" t="s">
        <v>47</v>
      </c>
      <c r="B26" s="5">
        <v>7.3280000000000003</v>
      </c>
      <c r="C26" s="2">
        <v>5.5</v>
      </c>
      <c r="D26" s="2" t="s">
        <v>23</v>
      </c>
      <c r="E26" s="5">
        <v>462.49</v>
      </c>
      <c r="F26" s="5">
        <v>334</v>
      </c>
      <c r="G26" s="5">
        <f t="shared" si="2"/>
        <v>367.5254267474192</v>
      </c>
      <c r="H26" s="2" t="e">
        <f>IF(OR(#REF!&lt;F26*0.9,#REF!&gt;F26*1.1),"불합격","합격")</f>
        <v>#REF!</v>
      </c>
      <c r="I26" s="30" t="str">
        <f>IFERROR(#REF!/F26,"-")</f>
        <v>-</v>
      </c>
      <c r="J26" s="2" t="str">
        <f t="shared" si="3"/>
        <v>OF-4-#2</v>
      </c>
      <c r="K26" s="2"/>
    </row>
    <row r="27" spans="1:11" hidden="1" x14ac:dyDescent="0.45">
      <c r="A27" s="93" t="s">
        <v>93</v>
      </c>
      <c r="B27" s="93"/>
      <c r="C27" s="93"/>
      <c r="D27" s="93"/>
      <c r="E27" s="93"/>
      <c r="F27" s="93"/>
      <c r="G27" s="93"/>
      <c r="H27" s="93"/>
      <c r="I27" s="93"/>
      <c r="J27" s="93"/>
    </row>
    <row r="28" spans="1:11" hidden="1" x14ac:dyDescent="0.45">
      <c r="A28" s="1" t="s">
        <v>94</v>
      </c>
      <c r="B28" s="5">
        <v>4.0129999999999999</v>
      </c>
      <c r="C28" s="2">
        <v>5.5</v>
      </c>
      <c r="D28" s="2">
        <v>8850</v>
      </c>
      <c r="E28" s="5">
        <v>168.49</v>
      </c>
      <c r="F28" s="5">
        <f t="shared" si="1"/>
        <v>147.5</v>
      </c>
      <c r="G28" s="5">
        <f t="shared" ref="G28:G37" si="4">IFERROR(POWER((B28/C28)*F28^3,1/3),0)</f>
        <v>132.78861577677901</v>
      </c>
      <c r="H28" s="2" t="e">
        <f>IF(OR(#REF!&lt;F28*0.9,#REF!&gt;F28*1.1),"불합격","합격")</f>
        <v>#REF!</v>
      </c>
      <c r="I28" s="30" t="str">
        <f>IFERROR(#REF!/F28,"-")</f>
        <v>-</v>
      </c>
      <c r="J28" s="2" t="str">
        <f t="shared" ref="J28:J37" si="5">A28</f>
        <v>HV1-급기</v>
      </c>
      <c r="K28" s="2"/>
    </row>
    <row r="29" spans="1:11" hidden="1" x14ac:dyDescent="0.45">
      <c r="A29" s="1" t="s">
        <v>95</v>
      </c>
      <c r="B29" s="5">
        <v>1.6479999999999999</v>
      </c>
      <c r="C29" s="2">
        <v>2.2000000000000002</v>
      </c>
      <c r="D29" s="2">
        <v>7950</v>
      </c>
      <c r="E29" s="5">
        <v>115.63</v>
      </c>
      <c r="F29" s="5">
        <f t="shared" si="1"/>
        <v>132.5</v>
      </c>
      <c r="G29" s="5">
        <f t="shared" si="4"/>
        <v>120.33557951264339</v>
      </c>
      <c r="H29" s="2" t="e">
        <f>IF(OR(#REF!&lt;F29*0.9,#REF!&gt;F29*1.1),"불합격","합격")</f>
        <v>#REF!</v>
      </c>
      <c r="I29" s="30" t="str">
        <f>IFERROR(#REF!/F29,"-")</f>
        <v>-</v>
      </c>
      <c r="J29" s="2" t="str">
        <f t="shared" si="5"/>
        <v>HV1-환기</v>
      </c>
      <c r="K29" s="2"/>
    </row>
    <row r="30" spans="1:11" hidden="1" x14ac:dyDescent="0.45">
      <c r="A30" s="1" t="s">
        <v>96</v>
      </c>
      <c r="B30" s="5">
        <v>1.056</v>
      </c>
      <c r="C30" s="2">
        <v>1.1000000000000001</v>
      </c>
      <c r="D30" s="2">
        <v>32000</v>
      </c>
      <c r="E30" s="5">
        <v>503.19</v>
      </c>
      <c r="F30" s="5">
        <f t="shared" si="1"/>
        <v>533.33333333333337</v>
      </c>
      <c r="G30" s="5">
        <f t="shared" si="4"/>
        <v>526.12524252383366</v>
      </c>
      <c r="H30" s="2" t="e">
        <f>IF(OR(#REF!&lt;F30*0.9,#REF!&gt;F30*1.1),"불합격","합격")</f>
        <v>#REF!</v>
      </c>
      <c r="I30" s="30" t="str">
        <f>IFERROR(#REF!/F30,"-")</f>
        <v>-</v>
      </c>
      <c r="J30" s="2" t="str">
        <f t="shared" si="5"/>
        <v>F-1-#1</v>
      </c>
      <c r="K30" s="2"/>
    </row>
    <row r="31" spans="1:11" hidden="1" x14ac:dyDescent="0.45">
      <c r="A31" s="1" t="s">
        <v>97</v>
      </c>
      <c r="B31" s="5">
        <v>0.97399999999999998</v>
      </c>
      <c r="C31" s="2">
        <v>1.1000000000000001</v>
      </c>
      <c r="D31" s="2">
        <v>32000</v>
      </c>
      <c r="E31" s="5">
        <v>553.23</v>
      </c>
      <c r="F31" s="5">
        <f t="shared" si="1"/>
        <v>533.33333333333337</v>
      </c>
      <c r="G31" s="5">
        <f t="shared" si="4"/>
        <v>512.13857079824709</v>
      </c>
      <c r="H31" s="2" t="e">
        <f>IF(OR(#REF!&lt;F31*0.9,#REF!&gt;F31*1.1),"불합격","합격")</f>
        <v>#REF!</v>
      </c>
      <c r="I31" s="30" t="str">
        <f>IFERROR(#REF!/F31,"-")</f>
        <v>-</v>
      </c>
      <c r="J31" s="2" t="str">
        <f t="shared" si="5"/>
        <v>F-1-#2</v>
      </c>
      <c r="K31" s="2"/>
    </row>
    <row r="32" spans="1:11" hidden="1" x14ac:dyDescent="0.45">
      <c r="A32" s="1" t="s">
        <v>98</v>
      </c>
      <c r="B32" s="5">
        <v>1.048</v>
      </c>
      <c r="C32" s="2">
        <v>1.1000000000000001</v>
      </c>
      <c r="D32" s="2">
        <v>32000</v>
      </c>
      <c r="E32" s="5">
        <v>498.34</v>
      </c>
      <c r="F32" s="5">
        <f t="shared" si="1"/>
        <v>533.33333333333337</v>
      </c>
      <c r="G32" s="5">
        <f t="shared" si="4"/>
        <v>524.79327418603748</v>
      </c>
      <c r="H32" s="2" t="e">
        <f>IF(OR(#REF!&lt;F32*0.9,#REF!&gt;F32*1.1),"불합격","합격")</f>
        <v>#REF!</v>
      </c>
      <c r="I32" s="30" t="str">
        <f>IFERROR(#REF!/F32,"-")</f>
        <v>-</v>
      </c>
      <c r="J32" s="2" t="str">
        <f t="shared" si="5"/>
        <v>F-1-#3</v>
      </c>
      <c r="K32" s="2"/>
    </row>
    <row r="33" spans="1:11" hidden="1" x14ac:dyDescent="0.45">
      <c r="A33" s="1" t="s">
        <v>99</v>
      </c>
      <c r="B33" s="5">
        <v>1.9750000000000001</v>
      </c>
      <c r="C33" s="2">
        <v>1.1000000000000001</v>
      </c>
      <c r="D33" s="2">
        <v>32000</v>
      </c>
      <c r="E33" s="5">
        <v>533.34</v>
      </c>
      <c r="F33" s="5">
        <f t="shared" si="1"/>
        <v>533.33333333333337</v>
      </c>
      <c r="G33" s="5">
        <f t="shared" si="4"/>
        <v>648.22165134476688</v>
      </c>
      <c r="H33" s="2" t="e">
        <f>IF(OR(#REF!&lt;F33*0.9,#REF!&gt;F33*1.1),"불합격","합격")</f>
        <v>#REF!</v>
      </c>
      <c r="I33" s="30" t="str">
        <f>IFERROR(#REF!/F33,"-")</f>
        <v>-</v>
      </c>
      <c r="J33" s="2" t="str">
        <f t="shared" si="5"/>
        <v>F-1-#4</v>
      </c>
      <c r="K33" s="2"/>
    </row>
    <row r="34" spans="1:11" hidden="1" x14ac:dyDescent="0.45">
      <c r="A34" s="1" t="s">
        <v>100</v>
      </c>
      <c r="B34" s="5">
        <v>2.37</v>
      </c>
      <c r="C34" s="2">
        <v>1.1000000000000001</v>
      </c>
      <c r="D34" s="2">
        <v>32000</v>
      </c>
      <c r="E34" s="5">
        <v>520.29999999999995</v>
      </c>
      <c r="F34" s="5">
        <f t="shared" si="1"/>
        <v>533.33333333333337</v>
      </c>
      <c r="G34" s="5">
        <f t="shared" si="4"/>
        <v>688.83829253121962</v>
      </c>
      <c r="H34" s="2" t="e">
        <f>IF(OR(#REF!&lt;F34*0.9,#REF!&gt;F34*1.1),"불합격","합격")</f>
        <v>#REF!</v>
      </c>
      <c r="I34" s="30" t="str">
        <f>IFERROR(#REF!/F34,"-")</f>
        <v>-</v>
      </c>
      <c r="J34" s="2" t="str">
        <f t="shared" si="5"/>
        <v>F-1-#5</v>
      </c>
      <c r="K34" s="2"/>
    </row>
    <row r="35" spans="1:11" hidden="1" x14ac:dyDescent="0.45">
      <c r="A35" s="1" t="s">
        <v>101</v>
      </c>
      <c r="B35" s="5">
        <v>2.4279999999999999</v>
      </c>
      <c r="C35" s="2">
        <v>1.1000000000000001</v>
      </c>
      <c r="D35" s="2">
        <v>32000</v>
      </c>
      <c r="E35" s="5">
        <v>560.95000000000005</v>
      </c>
      <c r="F35" s="5">
        <f t="shared" si="1"/>
        <v>533.33333333333337</v>
      </c>
      <c r="G35" s="5">
        <f t="shared" si="4"/>
        <v>694.41228220070843</v>
      </c>
      <c r="H35" s="2" t="e">
        <f>IF(OR(#REF!&lt;F35*0.9,#REF!&gt;F35*1.1),"불합격","합격")</f>
        <v>#REF!</v>
      </c>
      <c r="I35" s="30" t="str">
        <f>IFERROR(#REF!/F35,"-")</f>
        <v>-</v>
      </c>
      <c r="J35" s="2" t="str">
        <f t="shared" si="5"/>
        <v>F-1-#6</v>
      </c>
      <c r="K35" s="2"/>
    </row>
    <row r="36" spans="1:11" hidden="1" x14ac:dyDescent="0.45">
      <c r="A36" s="1" t="s">
        <v>102</v>
      </c>
      <c r="B36" s="5">
        <v>2.367</v>
      </c>
      <c r="C36" s="2">
        <v>1.1000000000000001</v>
      </c>
      <c r="D36" s="2">
        <v>32000</v>
      </c>
      <c r="E36" s="5">
        <v>513.17999999999995</v>
      </c>
      <c r="F36" s="5">
        <f t="shared" si="1"/>
        <v>533.33333333333337</v>
      </c>
      <c r="G36" s="5">
        <f t="shared" si="4"/>
        <v>688.54752073958798</v>
      </c>
      <c r="H36" s="2" t="e">
        <f>IF(OR(#REF!&lt;F36*0.9,#REF!&gt;F36*1.1),"불합격","합격")</f>
        <v>#REF!</v>
      </c>
      <c r="I36" s="30" t="str">
        <f>IFERROR(#REF!/F36,"-")</f>
        <v>-</v>
      </c>
      <c r="J36" s="2" t="str">
        <f t="shared" si="5"/>
        <v>F-1-#7</v>
      </c>
      <c r="K36" s="2"/>
    </row>
    <row r="37" spans="1:11" hidden="1" x14ac:dyDescent="0.45">
      <c r="A37" s="1" t="s">
        <v>103</v>
      </c>
      <c r="B37" s="5">
        <v>2.3159999999999998</v>
      </c>
      <c r="C37" s="2">
        <v>1.1000000000000001</v>
      </c>
      <c r="D37" s="2">
        <v>32000</v>
      </c>
      <c r="E37" s="5">
        <v>544.48</v>
      </c>
      <c r="F37" s="5">
        <f t="shared" si="1"/>
        <v>533.33333333333337</v>
      </c>
      <c r="G37" s="5">
        <f t="shared" si="4"/>
        <v>683.56636425794954</v>
      </c>
      <c r="H37" s="2" t="e">
        <f>IF(OR(#REF!&lt;F37*0.9,#REF!&gt;F37*1.1),"불합격","합격")</f>
        <v>#REF!</v>
      </c>
      <c r="I37" s="30" t="str">
        <f>IFERROR(#REF!/F37,"-")</f>
        <v>-</v>
      </c>
      <c r="J37" s="2" t="str">
        <f t="shared" si="5"/>
        <v>F-1-#8</v>
      </c>
      <c r="K37" s="2"/>
    </row>
    <row r="38" spans="1:11" hidden="1" x14ac:dyDescent="0.45">
      <c r="A38" s="93" t="s">
        <v>108</v>
      </c>
      <c r="B38" s="93"/>
      <c r="C38" s="93"/>
      <c r="D38" s="93"/>
      <c r="E38" s="93"/>
      <c r="F38" s="93"/>
      <c r="G38" s="93"/>
      <c r="H38" s="93"/>
      <c r="I38" s="93"/>
      <c r="J38" s="93"/>
    </row>
    <row r="39" spans="1:11" hidden="1" x14ac:dyDescent="0.45">
      <c r="A39" s="1" t="s">
        <v>104</v>
      </c>
      <c r="B39" s="5">
        <v>1.8979999999999999</v>
      </c>
      <c r="C39" s="2">
        <v>3.75</v>
      </c>
      <c r="D39" s="2">
        <v>5000</v>
      </c>
      <c r="E39" s="5">
        <v>86.320999999999998</v>
      </c>
      <c r="F39" s="18">
        <f t="shared" si="1"/>
        <v>83.333333333333329</v>
      </c>
      <c r="G39" s="5">
        <f>IFERROR(POWER((B39/C39)*F39^3,1/3),0)</f>
        <v>66.411058254658528</v>
      </c>
      <c r="H39" s="2" t="e">
        <f>IF(OR(#REF!&lt;F39*0.9,#REF!&gt;F39*1.1),"불합격","합격")</f>
        <v>#REF!</v>
      </c>
      <c r="I39" s="30" t="str">
        <f>IFERROR(#REF!/F39,"-")</f>
        <v>-</v>
      </c>
      <c r="J39" s="2" t="str">
        <f>A39</f>
        <v>CE-1</v>
      </c>
      <c r="K39" s="2"/>
    </row>
    <row r="40" spans="1:11" hidden="1" x14ac:dyDescent="0.45">
      <c r="A40" s="1" t="s">
        <v>105</v>
      </c>
      <c r="B40" s="5">
        <v>2.7050000000000001</v>
      </c>
      <c r="C40" s="2">
        <v>7.5</v>
      </c>
      <c r="D40" s="2">
        <v>45600</v>
      </c>
      <c r="E40" s="5">
        <v>194.41</v>
      </c>
      <c r="F40" s="18">
        <f t="shared" si="1"/>
        <v>760</v>
      </c>
      <c r="G40" s="5">
        <f>IFERROR(POWER((B40/C40)*F40^3,1/3),0)</f>
        <v>540.98130968496264</v>
      </c>
      <c r="H40" s="2" t="e">
        <f>IF(OR(#REF!&lt;F40*0.9,#REF!&gt;F40*1.1),"불합격","합격")</f>
        <v>#REF!</v>
      </c>
      <c r="I40" s="30" t="str">
        <f>IFERROR(#REF!/F40,"-")</f>
        <v>-</v>
      </c>
      <c r="J40" s="2" t="str">
        <f>A40</f>
        <v>EF-4-#1</v>
      </c>
      <c r="K40" s="2"/>
    </row>
    <row r="41" spans="1:11" hidden="1" x14ac:dyDescent="0.45">
      <c r="A41" s="1" t="s">
        <v>106</v>
      </c>
      <c r="B41" s="5">
        <v>3.2010000000000001</v>
      </c>
      <c r="C41" s="2">
        <v>7.5</v>
      </c>
      <c r="D41" s="2">
        <v>45600</v>
      </c>
      <c r="E41" s="5">
        <v>194.07</v>
      </c>
      <c r="F41" s="18">
        <f t="shared" si="1"/>
        <v>760</v>
      </c>
      <c r="G41" s="5">
        <f>IFERROR(POWER((B41/C41)*F41^3,1/3),0)</f>
        <v>572.20949830101472</v>
      </c>
      <c r="H41" s="2" t="e">
        <f>IF(OR(#REF!&lt;F41*0.9,#REF!&gt;F41*1.1),"불합격","합격")</f>
        <v>#REF!</v>
      </c>
      <c r="I41" s="30" t="str">
        <f>IFERROR(#REF!/F41,"-")</f>
        <v>-</v>
      </c>
      <c r="J41" s="2" t="str">
        <f>A41</f>
        <v>EF-4-#2</v>
      </c>
      <c r="K41" s="2"/>
    </row>
    <row r="42" spans="1:11" hidden="1" x14ac:dyDescent="0.45">
      <c r="A42" s="1" t="s">
        <v>107</v>
      </c>
      <c r="B42" s="5">
        <v>5.0789999999999997</v>
      </c>
      <c r="C42" s="2">
        <v>7.5</v>
      </c>
      <c r="D42" s="2">
        <v>45600</v>
      </c>
      <c r="E42" s="5">
        <v>677.53</v>
      </c>
      <c r="F42" s="18">
        <f t="shared" si="1"/>
        <v>760</v>
      </c>
      <c r="G42" s="5">
        <f>IFERROR(POWER((B42/C42)*F42^3,1/3),0)</f>
        <v>667.39954887471515</v>
      </c>
      <c r="H42" s="2" t="e">
        <f>IF(OR(#REF!&lt;F42*0.9,#REF!&gt;F42*1.1),"불합격","합격")</f>
        <v>#REF!</v>
      </c>
      <c r="I42" s="30" t="str">
        <f>IFERROR(#REF!/F42,"-")</f>
        <v>-</v>
      </c>
      <c r="J42" s="2" t="str">
        <f>A42</f>
        <v>SF-5</v>
      </c>
      <c r="K42" s="2"/>
    </row>
    <row r="43" spans="1:11" hidden="1" x14ac:dyDescent="0.45">
      <c r="A43" s="1" t="s">
        <v>109</v>
      </c>
      <c r="B43" s="5">
        <v>4.7519999999999998</v>
      </c>
      <c r="C43" s="2">
        <v>15</v>
      </c>
      <c r="D43" s="2">
        <v>42900</v>
      </c>
      <c r="E43" s="5">
        <v>294.98</v>
      </c>
      <c r="F43" s="18">
        <f t="shared" si="1"/>
        <v>715</v>
      </c>
      <c r="G43" s="5">
        <f>IFERROR(POWER((B43/C43)*F43^3,1/3),0)</f>
        <v>487.41747936559801</v>
      </c>
      <c r="H43" s="2" t="e">
        <f>IF(OR(#REF!&lt;F43*0.9,#REF!&gt;F43*1.1),"불합격","합격")</f>
        <v>#REF!</v>
      </c>
      <c r="I43" s="30" t="str">
        <f>IFERROR(#REF!/F43,"-")</f>
        <v>-</v>
      </c>
      <c r="J43" s="2" t="str">
        <f>A43</f>
        <v>AHU-1-환기</v>
      </c>
      <c r="K43" s="2" t="s">
        <v>111</v>
      </c>
    </row>
    <row r="44" spans="1:11" hidden="1" x14ac:dyDescent="0.45">
      <c r="A44" s="93" t="s">
        <v>112</v>
      </c>
      <c r="B44" s="93"/>
      <c r="C44" s="93"/>
      <c r="D44" s="93"/>
      <c r="E44" s="93"/>
      <c r="F44" s="93"/>
      <c r="G44" s="93"/>
      <c r="H44" s="93"/>
      <c r="I44" s="93"/>
      <c r="J44" s="93"/>
      <c r="K44" s="2"/>
    </row>
    <row r="45" spans="1:11" hidden="1" x14ac:dyDescent="0.45">
      <c r="A45" s="1" t="s">
        <v>113</v>
      </c>
      <c r="B45" s="5">
        <v>2.8260000000000001</v>
      </c>
      <c r="C45" s="2">
        <v>3.7</v>
      </c>
      <c r="E45" s="5">
        <v>295.95999999999998</v>
      </c>
      <c r="F45" s="18">
        <v>317</v>
      </c>
      <c r="G45" s="5">
        <f t="shared" ref="G45:G50" si="6">IFERROR(POWER((B45/C45)*F45^3,1/3),0)</f>
        <v>289.76732173260154</v>
      </c>
      <c r="H45" s="2" t="e">
        <f>IF(OR(#REF!&lt;F45*0.9,#REF!&gt;F45*1.1),"불합격","합격")</f>
        <v>#REF!</v>
      </c>
      <c r="I45" s="30" t="str">
        <f>IFERROR(#REF!/F45,"-")</f>
        <v>-</v>
      </c>
      <c r="J45" s="2" t="str">
        <f t="shared" ref="J45:J50" si="7">A45</f>
        <v>EF-3-#1</v>
      </c>
      <c r="K45" s="2"/>
    </row>
    <row r="46" spans="1:11" hidden="1" x14ac:dyDescent="0.45">
      <c r="A46" s="1" t="s">
        <v>114</v>
      </c>
      <c r="B46" s="5">
        <v>3.6949999999999998</v>
      </c>
      <c r="C46" s="2">
        <v>3.7</v>
      </c>
      <c r="E46" s="5">
        <v>373.81</v>
      </c>
      <c r="F46" s="18">
        <v>317</v>
      </c>
      <c r="G46" s="5">
        <f t="shared" si="6"/>
        <v>316.85714283779663</v>
      </c>
      <c r="H46" s="2" t="e">
        <f>IF(OR(#REF!&lt;F46*0.9,#REF!&gt;F46*1.1),"불합격","합격")</f>
        <v>#REF!</v>
      </c>
      <c r="I46" s="30" t="str">
        <f>IFERROR(#REF!/F46,"-")</f>
        <v>-</v>
      </c>
      <c r="J46" s="2" t="str">
        <f t="shared" si="7"/>
        <v>SF-3-#1</v>
      </c>
      <c r="K46" s="2" t="s">
        <v>119</v>
      </c>
    </row>
    <row r="47" spans="1:11" hidden="1" x14ac:dyDescent="0.45">
      <c r="A47" s="1" t="s">
        <v>115</v>
      </c>
      <c r="B47" s="5">
        <v>3.0659999999999998</v>
      </c>
      <c r="C47" s="2">
        <v>3.7</v>
      </c>
      <c r="E47" s="5">
        <v>287.63</v>
      </c>
      <c r="F47" s="18">
        <v>317</v>
      </c>
      <c r="G47" s="5">
        <f t="shared" si="6"/>
        <v>297.74837803362948</v>
      </c>
      <c r="H47" s="2" t="e">
        <f>IF(OR(#REF!&lt;F47*0.9,#REF!&gt;F47*1.1),"불합격","합격")</f>
        <v>#REF!</v>
      </c>
      <c r="I47" s="30" t="str">
        <f>IFERROR(#REF!/F47,"-")</f>
        <v>-</v>
      </c>
      <c r="J47" s="2" t="str">
        <f t="shared" si="7"/>
        <v>SF-3-#2</v>
      </c>
      <c r="K47" s="2"/>
    </row>
    <row r="48" spans="1:11" hidden="1" x14ac:dyDescent="0.45">
      <c r="A48" s="1" t="s">
        <v>116</v>
      </c>
      <c r="B48" s="5">
        <v>2.8919999999999999</v>
      </c>
      <c r="C48" s="2">
        <v>3.7</v>
      </c>
      <c r="E48" s="5">
        <v>265.43</v>
      </c>
      <c r="F48" s="18">
        <v>317</v>
      </c>
      <c r="G48" s="5">
        <f t="shared" si="6"/>
        <v>292.00578160597513</v>
      </c>
      <c r="H48" s="2" t="e">
        <f>IF(OR(#REF!&lt;F48*0.9,#REF!&gt;F48*1.1),"불합격","합격")</f>
        <v>#REF!</v>
      </c>
      <c r="I48" s="30" t="str">
        <f>IFERROR(#REF!/F48,"-")</f>
        <v>-</v>
      </c>
      <c r="J48" s="2" t="str">
        <f t="shared" si="7"/>
        <v>EF-3-#2</v>
      </c>
      <c r="K48" s="2"/>
    </row>
    <row r="49" spans="1:11" hidden="1" x14ac:dyDescent="0.45">
      <c r="A49" s="1" t="s">
        <v>117</v>
      </c>
      <c r="B49" s="5">
        <v>8.6199999999999992</v>
      </c>
      <c r="C49" s="2">
        <v>15</v>
      </c>
      <c r="E49" s="5">
        <v>467</v>
      </c>
      <c r="F49" s="18">
        <v>567</v>
      </c>
      <c r="G49" s="5">
        <f t="shared" si="6"/>
        <v>471.39871516185485</v>
      </c>
      <c r="H49" s="2" t="e">
        <f>IF(OR(#REF!&lt;F49*0.9,#REF!&gt;F49*1.1),"불합격","합격")</f>
        <v>#REF!</v>
      </c>
      <c r="I49" s="30" t="str">
        <f>IFERROR(#REF!/F49,"-")</f>
        <v>-</v>
      </c>
      <c r="J49" s="2" t="str">
        <f t="shared" si="7"/>
        <v>HV-2-급기</v>
      </c>
      <c r="K49" s="2"/>
    </row>
    <row r="50" spans="1:11" hidden="1" x14ac:dyDescent="0.45">
      <c r="A50" s="1" t="s">
        <v>118</v>
      </c>
      <c r="B50" s="5">
        <v>8.6199999999999992</v>
      </c>
      <c r="C50" s="2">
        <v>15</v>
      </c>
      <c r="E50" s="5">
        <v>513</v>
      </c>
      <c r="F50" s="18">
        <v>567</v>
      </c>
      <c r="G50" s="5">
        <f t="shared" si="6"/>
        <v>471.39871516185485</v>
      </c>
      <c r="H50" s="2" t="e">
        <f>IF(OR(#REF!&lt;F50*0.9,#REF!&gt;F50*1.1),"불합격","합격")</f>
        <v>#REF!</v>
      </c>
      <c r="I50" s="30" t="str">
        <f>IFERROR(#REF!/F50,"-")</f>
        <v>-</v>
      </c>
      <c r="J50" s="2" t="str">
        <f t="shared" si="7"/>
        <v>HV-2-환기</v>
      </c>
      <c r="K50" s="2"/>
    </row>
    <row r="51" spans="1:11" hidden="1" x14ac:dyDescent="0.45">
      <c r="A51" s="93" t="s">
        <v>127</v>
      </c>
      <c r="B51" s="93"/>
      <c r="C51" s="93"/>
      <c r="D51" s="93"/>
      <c r="E51" s="93"/>
      <c r="F51" s="93"/>
      <c r="G51" s="93"/>
      <c r="H51" s="93"/>
      <c r="I51" s="93"/>
      <c r="J51" s="93"/>
      <c r="K51" s="2"/>
    </row>
    <row r="52" spans="1:11" hidden="1" x14ac:dyDescent="0.45">
      <c r="A52" s="1" t="s">
        <v>128</v>
      </c>
      <c r="B52" s="5">
        <v>3.665</v>
      </c>
      <c r="C52" s="2">
        <v>5.5</v>
      </c>
      <c r="E52" s="5">
        <v>187.59</v>
      </c>
      <c r="F52" s="18">
        <v>226</v>
      </c>
      <c r="G52" s="5">
        <f t="shared" ref="G52:G61" si="8">IFERROR(POWER((B52/C52)*F52^3,1/3),0)</f>
        <v>197.39926698402479</v>
      </c>
      <c r="H52" s="2" t="e">
        <f>IF(OR(#REF!&lt;F52*0.9,#REF!&gt;F52*1.1),"불합격","합격")</f>
        <v>#REF!</v>
      </c>
      <c r="I52" s="30" t="str">
        <f>IFERROR(#REF!/F52,"-")</f>
        <v>-</v>
      </c>
      <c r="J52" s="2" t="str">
        <f t="shared" ref="J52:J61" si="9">A52</f>
        <v>F-21</v>
      </c>
      <c r="K52" s="2"/>
    </row>
    <row r="53" spans="1:11" hidden="1" x14ac:dyDescent="0.45">
      <c r="A53" s="1" t="s">
        <v>129</v>
      </c>
      <c r="B53" s="5">
        <v>3.2309999999999999</v>
      </c>
      <c r="C53" s="2">
        <v>5.5</v>
      </c>
      <c r="E53" s="5">
        <v>185.46</v>
      </c>
      <c r="F53" s="18">
        <v>231</v>
      </c>
      <c r="G53" s="5">
        <f t="shared" si="8"/>
        <v>193.46544326108096</v>
      </c>
      <c r="H53" s="2" t="e">
        <f>IF(OR(#REF!&lt;F53*0.9,#REF!&gt;F53*1.1),"불합격","합격")</f>
        <v>#REF!</v>
      </c>
      <c r="I53" s="30" t="str">
        <f>IFERROR(#REF!/F53,"-")</f>
        <v>-</v>
      </c>
      <c r="J53" s="2" t="str">
        <f t="shared" si="9"/>
        <v>F-22</v>
      </c>
      <c r="K53" s="2"/>
    </row>
    <row r="54" spans="1:11" hidden="1" x14ac:dyDescent="0.45">
      <c r="A54" s="1" t="s">
        <v>130</v>
      </c>
      <c r="B54" s="5">
        <v>2.5550000000000002</v>
      </c>
      <c r="C54" s="2">
        <v>3.75</v>
      </c>
      <c r="E54" s="5">
        <v>97.72</v>
      </c>
      <c r="F54" s="18">
        <v>104</v>
      </c>
      <c r="G54" s="5">
        <f t="shared" si="8"/>
        <v>91.513792049070148</v>
      </c>
      <c r="H54" s="2" t="e">
        <f>IF(OR(#REF!&lt;F54*0.9,#REF!&gt;F54*1.1),"불합격","합격")</f>
        <v>#REF!</v>
      </c>
      <c r="I54" s="30" t="str">
        <f>IFERROR(#REF!/F54,"-")</f>
        <v>-</v>
      </c>
      <c r="J54" s="2" t="str">
        <f t="shared" si="9"/>
        <v>F-27</v>
      </c>
      <c r="K54" s="2"/>
    </row>
    <row r="55" spans="1:11" hidden="1" x14ac:dyDescent="0.45">
      <c r="A55" s="1" t="s">
        <v>131</v>
      </c>
      <c r="B55" s="5">
        <v>0.42299999999999999</v>
      </c>
      <c r="C55" s="2">
        <v>3.75</v>
      </c>
      <c r="E55" s="5">
        <v>12.24</v>
      </c>
      <c r="F55" s="18">
        <v>117</v>
      </c>
      <c r="G55" s="5">
        <f t="shared" si="8"/>
        <v>56.531289886360774</v>
      </c>
      <c r="H55" s="2" t="e">
        <f>IF(OR(#REF!&lt;F55*0.9,#REF!&gt;F55*1.1),"불합격","합격")</f>
        <v>#REF!</v>
      </c>
      <c r="I55" s="30" t="str">
        <f>IFERROR(#REF!/F55,"-")</f>
        <v>-</v>
      </c>
      <c r="J55" s="2" t="str">
        <f t="shared" si="9"/>
        <v>F-28</v>
      </c>
      <c r="K55" s="2"/>
    </row>
    <row r="56" spans="1:11" hidden="1" x14ac:dyDescent="0.45">
      <c r="A56" s="1" t="s">
        <v>132</v>
      </c>
      <c r="B56" s="5">
        <v>1.546</v>
      </c>
      <c r="C56" s="2">
        <v>1.5</v>
      </c>
      <c r="E56" s="5">
        <v>40</v>
      </c>
      <c r="F56" s="18">
        <v>47</v>
      </c>
      <c r="G56" s="5">
        <f t="shared" si="8"/>
        <v>47.475615233970345</v>
      </c>
      <c r="H56" s="2" t="e">
        <f>IF(OR(#REF!&lt;F56*0.9,#REF!&gt;F56*1.1),"불합격","합격")</f>
        <v>#REF!</v>
      </c>
      <c r="I56" s="30" t="str">
        <f>IFERROR(#REF!/F56,"-")</f>
        <v>-</v>
      </c>
      <c r="J56" s="2" t="str">
        <f t="shared" si="9"/>
        <v>F-29</v>
      </c>
      <c r="K56" s="2"/>
    </row>
    <row r="57" spans="1:11" hidden="1" x14ac:dyDescent="0.45">
      <c r="A57" s="1" t="s">
        <v>133</v>
      </c>
      <c r="B57" s="5">
        <v>2.7149999999999999</v>
      </c>
      <c r="C57" s="2">
        <v>5.5</v>
      </c>
      <c r="E57" s="5">
        <v>156.94</v>
      </c>
      <c r="F57" s="18">
        <v>172</v>
      </c>
      <c r="G57" s="5">
        <f t="shared" si="8"/>
        <v>135.9348550326475</v>
      </c>
      <c r="H57" s="2" t="e">
        <f>IF(OR(#REF!&lt;F57*0.9,#REF!&gt;F57*1.1),"불합격","합격")</f>
        <v>#REF!</v>
      </c>
      <c r="I57" s="30" t="str">
        <f>IFERROR(#REF!/F57,"-")</f>
        <v>-</v>
      </c>
      <c r="J57" s="2" t="str">
        <f t="shared" si="9"/>
        <v>F-32</v>
      </c>
      <c r="K57" s="2"/>
    </row>
    <row r="58" spans="1:11" hidden="1" x14ac:dyDescent="0.45">
      <c r="A58" s="1" t="s">
        <v>134</v>
      </c>
      <c r="B58" s="5">
        <v>2.6539999999999999</v>
      </c>
      <c r="C58" s="2">
        <v>3.75</v>
      </c>
      <c r="E58" s="5">
        <v>66.19</v>
      </c>
      <c r="F58" s="18">
        <v>102</v>
      </c>
      <c r="G58" s="5">
        <f t="shared" si="8"/>
        <v>90.898501138932929</v>
      </c>
      <c r="H58" s="2" t="e">
        <f>IF(OR(#REF!&lt;F58*0.9,#REF!&gt;F58*1.1),"불합격","합격")</f>
        <v>#REF!</v>
      </c>
      <c r="I58" s="30" t="str">
        <f>IFERROR(#REF!/F58,"-")</f>
        <v>-</v>
      </c>
      <c r="J58" s="2" t="str">
        <f t="shared" si="9"/>
        <v>F-33</v>
      </c>
      <c r="K58" s="2"/>
    </row>
    <row r="59" spans="1:11" hidden="1" x14ac:dyDescent="0.45">
      <c r="A59" s="1" t="s">
        <v>135</v>
      </c>
      <c r="B59" s="5">
        <v>2.2549999999999999</v>
      </c>
      <c r="C59" s="2">
        <v>3.75</v>
      </c>
      <c r="E59" s="5">
        <v>37.33</v>
      </c>
      <c r="F59" s="18">
        <v>126</v>
      </c>
      <c r="G59" s="5">
        <f t="shared" si="8"/>
        <v>106.35117797060397</v>
      </c>
      <c r="H59" s="2" t="e">
        <f>IF(OR(#REF!&lt;F59*0.9,#REF!&gt;F59*1.1),"불합격","합격")</f>
        <v>#REF!</v>
      </c>
      <c r="I59" s="30" t="str">
        <f>IFERROR(#REF!/F59,"-")</f>
        <v>-</v>
      </c>
      <c r="J59" s="2" t="str">
        <f t="shared" si="9"/>
        <v>F-37</v>
      </c>
      <c r="K59" s="2"/>
    </row>
    <row r="60" spans="1:11" hidden="1" x14ac:dyDescent="0.45">
      <c r="A60" s="1" t="s">
        <v>136</v>
      </c>
      <c r="B60" s="5">
        <v>2.7130000000000001</v>
      </c>
      <c r="C60" s="2">
        <v>2.2000000000000002</v>
      </c>
      <c r="E60" s="5">
        <v>38.840000000000003</v>
      </c>
      <c r="F60" s="18">
        <v>96</v>
      </c>
      <c r="G60" s="5">
        <f t="shared" si="8"/>
        <v>102.94697836900495</v>
      </c>
      <c r="H60" s="2" t="e">
        <f>IF(OR(#REF!&lt;F60*0.9,#REF!&gt;F60*1.1),"불합격","합격")</f>
        <v>#REF!</v>
      </c>
      <c r="I60" s="30" t="str">
        <f>IFERROR(#REF!/F60,"-")</f>
        <v>-</v>
      </c>
      <c r="J60" s="2" t="str">
        <f t="shared" si="9"/>
        <v>F-38</v>
      </c>
      <c r="K60" s="2"/>
    </row>
    <row r="61" spans="1:11" hidden="1" x14ac:dyDescent="0.45">
      <c r="A61" s="1" t="s">
        <v>137</v>
      </c>
      <c r="B61" s="32" t="s">
        <v>23</v>
      </c>
      <c r="C61" s="2">
        <v>5.5</v>
      </c>
      <c r="E61" s="32" t="s">
        <v>23</v>
      </c>
      <c r="F61" s="18">
        <v>171</v>
      </c>
      <c r="G61" s="5">
        <f t="shared" si="8"/>
        <v>0</v>
      </c>
      <c r="H61" s="2" t="e">
        <f>IF(OR(#REF!&lt;F61*0.9,#REF!&gt;F61*1.1),"불합격","합격")</f>
        <v>#REF!</v>
      </c>
      <c r="I61" s="30" t="str">
        <f>IFERROR(#REF!/F61,"-")</f>
        <v>-</v>
      </c>
      <c r="J61" s="2" t="str">
        <f t="shared" si="9"/>
        <v>F-39</v>
      </c>
      <c r="K61" s="2" t="s">
        <v>138</v>
      </c>
    </row>
    <row r="62" spans="1:11" hidden="1" x14ac:dyDescent="0.45">
      <c r="A62" s="93" t="s">
        <v>139</v>
      </c>
      <c r="B62" s="93"/>
      <c r="C62" s="93"/>
      <c r="D62" s="93"/>
      <c r="E62" s="93"/>
      <c r="F62" s="93"/>
      <c r="G62" s="93"/>
      <c r="H62" s="93"/>
      <c r="I62" s="93"/>
      <c r="J62" s="93"/>
      <c r="K62" s="2"/>
    </row>
    <row r="63" spans="1:11" hidden="1" x14ac:dyDescent="0.45">
      <c r="A63" s="1" t="s">
        <v>150</v>
      </c>
      <c r="B63" s="2">
        <v>0.96</v>
      </c>
      <c r="C63" s="2">
        <v>3.7</v>
      </c>
      <c r="D63" s="31" t="s">
        <v>23</v>
      </c>
      <c r="E63" s="5">
        <v>45.17</v>
      </c>
      <c r="F63" s="18">
        <v>300</v>
      </c>
      <c r="G63" s="5">
        <f>IFERROR(POWER((B63/C63)*F63^3,1/3),0)</f>
        <v>191.3423445064517</v>
      </c>
      <c r="H63" s="2" t="e">
        <f>IF(OR(#REF!&lt;F63*0.9,#REF!&gt;F63*1.1),"불합격","합격")</f>
        <v>#REF!</v>
      </c>
      <c r="I63" s="30" t="str">
        <f>IFERROR(#REF!/F63,"-")</f>
        <v>-</v>
      </c>
      <c r="J63" s="2" t="str">
        <f>A63</f>
        <v>#1</v>
      </c>
      <c r="K63" s="2" t="s">
        <v>152</v>
      </c>
    </row>
    <row r="64" spans="1:11" hidden="1" x14ac:dyDescent="0.45">
      <c r="A64" s="1" t="s">
        <v>151</v>
      </c>
      <c r="B64" s="2">
        <v>2.46</v>
      </c>
      <c r="C64" s="2">
        <v>3.7</v>
      </c>
      <c r="D64" s="31" t="s">
        <v>23</v>
      </c>
      <c r="E64" s="5">
        <v>108.12</v>
      </c>
      <c r="F64" s="18">
        <v>300</v>
      </c>
      <c r="G64" s="5">
        <f>IFERROR(POWER((B64/C64)*F64^3,1/3),0)</f>
        <v>261.837823567378</v>
      </c>
      <c r="H64" s="2" t="e">
        <f>IF(OR(#REF!&lt;F64*0.9,#REF!&gt;F64*1.1),"불합격","합격")</f>
        <v>#REF!</v>
      </c>
      <c r="I64" s="30" t="str">
        <f>IFERROR(#REF!/F64,"-")</f>
        <v>-</v>
      </c>
      <c r="J64" s="2" t="str">
        <f>A64</f>
        <v>#2</v>
      </c>
      <c r="K64" s="2" t="s">
        <v>152</v>
      </c>
    </row>
    <row r="65" spans="1:11" hidden="1" x14ac:dyDescent="0.45">
      <c r="A65" s="93" t="s">
        <v>153</v>
      </c>
      <c r="B65" s="93"/>
      <c r="C65" s="93"/>
      <c r="D65" s="93"/>
      <c r="E65" s="93"/>
      <c r="F65" s="93"/>
      <c r="G65" s="93"/>
      <c r="H65" s="93"/>
      <c r="I65" s="93"/>
      <c r="J65" s="93"/>
      <c r="K65" s="2"/>
    </row>
    <row r="66" spans="1:11" hidden="1" x14ac:dyDescent="0.45">
      <c r="A66" s="1" t="s">
        <v>156</v>
      </c>
      <c r="B66" s="38">
        <v>4.8</v>
      </c>
      <c r="C66" s="2">
        <v>5.5</v>
      </c>
      <c r="D66" s="2">
        <v>19500</v>
      </c>
      <c r="E66" s="5">
        <v>201.31</v>
      </c>
      <c r="F66" s="18">
        <f t="shared" si="1"/>
        <v>325</v>
      </c>
      <c r="G66" s="5">
        <f t="shared" ref="G66:G97" si="10">IFERROR(POWER((B66/C66)*F66^3,1/3),0)</f>
        <v>310.58194850650756</v>
      </c>
      <c r="H66" s="2" t="e">
        <f>IF(OR(#REF!&lt;F66*0.9,#REF!&gt;F66*1.1),"불합격","합격")</f>
        <v>#REF!</v>
      </c>
      <c r="I66" s="30" t="str">
        <f>IFERROR(#REF!/F66,"-")</f>
        <v>-</v>
      </c>
      <c r="J66" s="2" t="str">
        <f t="shared" ref="J66:J97" si="11">A66</f>
        <v>AHU-6-RA</v>
      </c>
      <c r="K66" s="2" t="s">
        <v>161</v>
      </c>
    </row>
    <row r="67" spans="1:11" hidden="1" x14ac:dyDescent="0.45">
      <c r="A67" s="1" t="s">
        <v>158</v>
      </c>
      <c r="B67" s="38">
        <v>4.4619999999999997</v>
      </c>
      <c r="C67" s="2">
        <v>5.5</v>
      </c>
      <c r="D67" s="2">
        <v>19500</v>
      </c>
      <c r="E67" s="5">
        <v>258.58999999999997</v>
      </c>
      <c r="F67" s="18">
        <f t="shared" si="1"/>
        <v>325</v>
      </c>
      <c r="G67" s="5">
        <f t="shared" si="10"/>
        <v>303.11376090787451</v>
      </c>
      <c r="H67" s="2" t="e">
        <f>IF(OR(#REF!&lt;F67*0.9,#REF!&gt;F67*1.1),"불합격","합격")</f>
        <v>#REF!</v>
      </c>
      <c r="I67" s="30" t="str">
        <f>IFERROR(#REF!/F67,"-")</f>
        <v>-</v>
      </c>
      <c r="J67" s="2" t="str">
        <f t="shared" si="11"/>
        <v>AHU-7-RA</v>
      </c>
      <c r="K67" s="2" t="s">
        <v>161</v>
      </c>
    </row>
    <row r="68" spans="1:11" hidden="1" x14ac:dyDescent="0.45">
      <c r="A68" s="1" t="s">
        <v>159</v>
      </c>
      <c r="B68" s="38">
        <v>4.1390000000000002</v>
      </c>
      <c r="C68" s="2">
        <v>5.5</v>
      </c>
      <c r="D68" s="2">
        <v>19500</v>
      </c>
      <c r="E68" s="5">
        <v>285.7</v>
      </c>
      <c r="F68" s="18">
        <f t="shared" si="1"/>
        <v>325</v>
      </c>
      <c r="G68" s="5">
        <f t="shared" si="10"/>
        <v>295.61577563670141</v>
      </c>
      <c r="H68" s="2" t="e">
        <f>IF(OR(#REF!&lt;F68*0.9,#REF!&gt;F68*1.1),"불합격","합격")</f>
        <v>#REF!</v>
      </c>
      <c r="I68" s="30" t="str">
        <f>IFERROR(#REF!/F68,"-")</f>
        <v>-</v>
      </c>
      <c r="J68" s="2" t="str">
        <f t="shared" si="11"/>
        <v>AHU-8-RA</v>
      </c>
      <c r="K68" s="2" t="s">
        <v>161</v>
      </c>
    </row>
    <row r="69" spans="1:11" hidden="1" x14ac:dyDescent="0.45">
      <c r="A69" s="1" t="s">
        <v>160</v>
      </c>
      <c r="B69" s="38">
        <v>3.7229999999999999</v>
      </c>
      <c r="C69" s="2">
        <v>5.5</v>
      </c>
      <c r="D69" s="2">
        <v>19500</v>
      </c>
      <c r="E69" s="5">
        <v>249.6</v>
      </c>
      <c r="F69" s="18">
        <f t="shared" si="1"/>
        <v>325</v>
      </c>
      <c r="G69" s="5">
        <f t="shared" si="10"/>
        <v>285.36024983178658</v>
      </c>
      <c r="H69" s="2" t="e">
        <f>IF(OR(#REF!&lt;F69*0.9,#REF!&gt;F69*1.1),"불합격","합격")</f>
        <v>#REF!</v>
      </c>
      <c r="I69" s="30" t="str">
        <f>IFERROR(#REF!/F69,"-")</f>
        <v>-</v>
      </c>
      <c r="J69" s="2" t="str">
        <f t="shared" si="11"/>
        <v>AHU-9-RA</v>
      </c>
      <c r="K69" s="2" t="s">
        <v>161</v>
      </c>
    </row>
    <row r="70" spans="1:11" ht="34" hidden="1" x14ac:dyDescent="0.45">
      <c r="A70" s="1" t="s">
        <v>162</v>
      </c>
      <c r="B70" s="38">
        <f>1.732*378.8*5.08*0.9*0.001</f>
        <v>2.9996050752000003</v>
      </c>
      <c r="C70" s="2">
        <f>5*0.75</f>
        <v>3.75</v>
      </c>
      <c r="D70" s="31" t="s">
        <v>23</v>
      </c>
      <c r="E70" s="5">
        <v>60.24</v>
      </c>
      <c r="F70" s="18">
        <v>443</v>
      </c>
      <c r="G70" s="5">
        <f t="shared" si="10"/>
        <v>411.22672422631501</v>
      </c>
      <c r="H70" s="2" t="e">
        <f>IF(OR(#REF!&lt;F70*0.9,#REF!&gt;F70*1.1),"불합격","합격")</f>
        <v>#REF!</v>
      </c>
      <c r="I70" s="30" t="str">
        <f>IFERROR(#REF!/F70,"-")</f>
        <v>-</v>
      </c>
      <c r="J70" s="2" t="str">
        <f t="shared" si="11"/>
        <v>F-6-1</v>
      </c>
      <c r="K70" s="35" t="s">
        <v>163</v>
      </c>
    </row>
    <row r="71" spans="1:11" ht="34" hidden="1" x14ac:dyDescent="0.45">
      <c r="A71" s="1" t="s">
        <v>164</v>
      </c>
      <c r="B71" s="38">
        <f>1.732*378.5*21.28*0.8*0.001</f>
        <v>11.160287488000002</v>
      </c>
      <c r="C71" s="2">
        <v>11</v>
      </c>
      <c r="D71" s="31">
        <v>0</v>
      </c>
      <c r="E71" s="5">
        <v>685.17</v>
      </c>
      <c r="F71" s="18">
        <v>826</v>
      </c>
      <c r="G71" s="5">
        <f t="shared" si="10"/>
        <v>829.99271334785374</v>
      </c>
      <c r="H71" s="2" t="e">
        <f>IF(OR(#REF!&lt;F71*0.9,#REF!&gt;F71*1.1),"불합격","합격")</f>
        <v>#REF!</v>
      </c>
      <c r="I71" s="30" t="str">
        <f>IFERROR(#REF!/F71,"-")</f>
        <v>-</v>
      </c>
      <c r="J71" s="2" t="str">
        <f t="shared" si="11"/>
        <v>F-7-1</v>
      </c>
      <c r="K71" s="35" t="s">
        <v>165</v>
      </c>
    </row>
    <row r="72" spans="1:11" ht="34" hidden="1" x14ac:dyDescent="0.45">
      <c r="A72" s="1" t="s">
        <v>166</v>
      </c>
      <c r="B72" s="38">
        <f>1.732*380*6.78*0.9*0.001</f>
        <v>4.0160923200000003</v>
      </c>
      <c r="C72" s="2">
        <v>11</v>
      </c>
      <c r="D72" s="31" t="s">
        <v>23</v>
      </c>
      <c r="E72" s="5">
        <v>132.07</v>
      </c>
      <c r="F72" s="18">
        <v>596</v>
      </c>
      <c r="G72" s="5">
        <f t="shared" si="10"/>
        <v>425.97416526969101</v>
      </c>
      <c r="H72" s="2" t="e">
        <f>IF(OR(#REF!&lt;F72*0.9,#REF!&gt;F72*1.1),"불합격","합격")</f>
        <v>#REF!</v>
      </c>
      <c r="I72" s="30" t="str">
        <f>IFERROR(#REF!/F72,"-")</f>
        <v>-</v>
      </c>
      <c r="J72" s="2" t="str">
        <f t="shared" si="11"/>
        <v>F-8</v>
      </c>
      <c r="K72" s="35" t="s">
        <v>165</v>
      </c>
    </row>
    <row r="73" spans="1:11" ht="34" hidden="1" x14ac:dyDescent="0.45">
      <c r="A73" s="1" t="s">
        <v>167</v>
      </c>
      <c r="B73" s="38">
        <f>1.732*378.5*7.07*0.9*0.001</f>
        <v>4.1713410059999996</v>
      </c>
      <c r="C73" s="2">
        <v>7.5</v>
      </c>
      <c r="D73" s="31" t="s">
        <v>23</v>
      </c>
      <c r="E73" s="5">
        <v>137.22999999999999</v>
      </c>
      <c r="F73" s="18">
        <v>529</v>
      </c>
      <c r="G73" s="5">
        <f t="shared" si="10"/>
        <v>435.03795541344385</v>
      </c>
      <c r="H73" s="2" t="e">
        <f>IF(OR(#REF!&lt;F73*0.9,#REF!&gt;F73*1.1),"불합격","합격")</f>
        <v>#REF!</v>
      </c>
      <c r="I73" s="30" t="str">
        <f>IFERROR(#REF!/F73,"-")</f>
        <v>-</v>
      </c>
      <c r="J73" s="2" t="str">
        <f t="shared" si="11"/>
        <v>F-8-1</v>
      </c>
      <c r="K73" s="35" t="s">
        <v>165</v>
      </c>
    </row>
    <row r="74" spans="1:11" x14ac:dyDescent="0.45">
      <c r="B74" s="38">
        <v>3</v>
      </c>
      <c r="C74" s="2">
        <v>5.5</v>
      </c>
      <c r="E74" s="5">
        <v>200</v>
      </c>
      <c r="F74" s="18">
        <v>250</v>
      </c>
      <c r="G74" s="5">
        <f t="shared" si="10"/>
        <v>204.26448516081092</v>
      </c>
      <c r="H74" s="2" t="str">
        <f>IF(OR(E74&lt;F74*0.8,E74&gt;F74*1.2),"불합격","합격")</f>
        <v>합격</v>
      </c>
      <c r="I74" s="30">
        <f>IFERROR(E74/F74,"-")</f>
        <v>0.8</v>
      </c>
      <c r="J74" s="2">
        <f t="shared" si="11"/>
        <v>0</v>
      </c>
      <c r="K74" s="2"/>
    </row>
    <row r="75" spans="1:11" x14ac:dyDescent="0.45">
      <c r="E75" s="5"/>
      <c r="F75" s="18">
        <v>0</v>
      </c>
      <c r="G75" s="5">
        <f t="shared" si="10"/>
        <v>0</v>
      </c>
      <c r="H75" s="2" t="str">
        <f t="shared" ref="H75:H138" si="12">IF(OR(E75&lt;F75*0.8,E75&gt;F75*1.2),"불합격","합격")</f>
        <v>합격</v>
      </c>
      <c r="I75" s="30" t="str">
        <f t="shared" ref="I75:I138" si="13">IFERROR(E75/F75,"-")</f>
        <v>-</v>
      </c>
      <c r="J75" s="2">
        <f t="shared" si="11"/>
        <v>0</v>
      </c>
      <c r="K75" s="2"/>
    </row>
    <row r="76" spans="1:11" x14ac:dyDescent="0.45">
      <c r="E76" s="5"/>
      <c r="F76" s="18">
        <f t="shared" ref="F76:F137" si="14">IFERROR(D76/60,"-")</f>
        <v>0</v>
      </c>
      <c r="G76" s="5">
        <f t="shared" si="10"/>
        <v>0</v>
      </c>
      <c r="H76" s="2" t="str">
        <f t="shared" si="12"/>
        <v>합격</v>
      </c>
      <c r="I76" s="30" t="str">
        <f t="shared" si="13"/>
        <v>-</v>
      </c>
      <c r="J76" s="2">
        <f t="shared" si="11"/>
        <v>0</v>
      </c>
      <c r="K76" s="2"/>
    </row>
    <row r="77" spans="1:11" x14ac:dyDescent="0.45">
      <c r="E77" s="5"/>
      <c r="F77" s="18">
        <f t="shared" si="14"/>
        <v>0</v>
      </c>
      <c r="G77" s="5">
        <f t="shared" si="10"/>
        <v>0</v>
      </c>
      <c r="H77" s="2" t="str">
        <f t="shared" si="12"/>
        <v>합격</v>
      </c>
      <c r="I77" s="30" t="str">
        <f t="shared" si="13"/>
        <v>-</v>
      </c>
      <c r="J77" s="2">
        <f t="shared" si="11"/>
        <v>0</v>
      </c>
      <c r="K77" s="2"/>
    </row>
    <row r="78" spans="1:11" x14ac:dyDescent="0.45">
      <c r="E78" s="5"/>
      <c r="F78" s="18">
        <f t="shared" si="14"/>
        <v>0</v>
      </c>
      <c r="G78" s="5">
        <f t="shared" si="10"/>
        <v>0</v>
      </c>
      <c r="H78" s="2" t="str">
        <f t="shared" si="12"/>
        <v>합격</v>
      </c>
      <c r="I78" s="30" t="str">
        <f t="shared" si="13"/>
        <v>-</v>
      </c>
      <c r="J78" s="2">
        <f t="shared" si="11"/>
        <v>0</v>
      </c>
      <c r="K78" s="2"/>
    </row>
    <row r="79" spans="1:11" x14ac:dyDescent="0.45">
      <c r="E79" s="5"/>
      <c r="F79" s="18">
        <f t="shared" si="14"/>
        <v>0</v>
      </c>
      <c r="G79" s="5">
        <f t="shared" si="10"/>
        <v>0</v>
      </c>
      <c r="H79" s="2" t="str">
        <f t="shared" si="12"/>
        <v>합격</v>
      </c>
      <c r="I79" s="30" t="str">
        <f t="shared" si="13"/>
        <v>-</v>
      </c>
      <c r="J79" s="2">
        <f t="shared" si="11"/>
        <v>0</v>
      </c>
      <c r="K79" s="2"/>
    </row>
    <row r="80" spans="1:11" x14ac:dyDescent="0.45">
      <c r="E80" s="5"/>
      <c r="F80" s="18">
        <f t="shared" si="14"/>
        <v>0</v>
      </c>
      <c r="G80" s="5">
        <f t="shared" si="10"/>
        <v>0</v>
      </c>
      <c r="H80" s="2" t="str">
        <f t="shared" si="12"/>
        <v>합격</v>
      </c>
      <c r="I80" s="30" t="str">
        <f t="shared" si="13"/>
        <v>-</v>
      </c>
      <c r="J80" s="2">
        <f t="shared" si="11"/>
        <v>0</v>
      </c>
      <c r="K80" s="2"/>
    </row>
    <row r="81" spans="5:11" x14ac:dyDescent="0.45">
      <c r="E81" s="5"/>
      <c r="F81" s="18">
        <f t="shared" si="14"/>
        <v>0</v>
      </c>
      <c r="G81" s="5">
        <f t="shared" si="10"/>
        <v>0</v>
      </c>
      <c r="H81" s="2" t="str">
        <f t="shared" si="12"/>
        <v>합격</v>
      </c>
      <c r="I81" s="30" t="str">
        <f t="shared" si="13"/>
        <v>-</v>
      </c>
      <c r="J81" s="2">
        <f t="shared" si="11"/>
        <v>0</v>
      </c>
      <c r="K81" s="2"/>
    </row>
    <row r="82" spans="5:11" x14ac:dyDescent="0.45">
      <c r="E82" s="5"/>
      <c r="F82" s="18">
        <f t="shared" si="14"/>
        <v>0</v>
      </c>
      <c r="G82" s="5">
        <f t="shared" si="10"/>
        <v>0</v>
      </c>
      <c r="H82" s="2" t="str">
        <f t="shared" si="12"/>
        <v>합격</v>
      </c>
      <c r="I82" s="30" t="str">
        <f t="shared" si="13"/>
        <v>-</v>
      </c>
      <c r="J82" s="2">
        <f t="shared" si="11"/>
        <v>0</v>
      </c>
      <c r="K82" s="2"/>
    </row>
    <row r="83" spans="5:11" x14ac:dyDescent="0.45">
      <c r="E83" s="5"/>
      <c r="F83" s="18">
        <f t="shared" si="14"/>
        <v>0</v>
      </c>
      <c r="G83" s="5">
        <f t="shared" si="10"/>
        <v>0</v>
      </c>
      <c r="H83" s="2" t="str">
        <f t="shared" si="12"/>
        <v>합격</v>
      </c>
      <c r="I83" s="30" t="str">
        <f t="shared" si="13"/>
        <v>-</v>
      </c>
      <c r="J83" s="2">
        <f t="shared" si="11"/>
        <v>0</v>
      </c>
      <c r="K83" s="2"/>
    </row>
    <row r="84" spans="5:11" x14ac:dyDescent="0.45">
      <c r="E84" s="5"/>
      <c r="F84" s="18">
        <f t="shared" si="14"/>
        <v>0</v>
      </c>
      <c r="G84" s="5">
        <f t="shared" si="10"/>
        <v>0</v>
      </c>
      <c r="H84" s="2" t="str">
        <f t="shared" si="12"/>
        <v>합격</v>
      </c>
      <c r="I84" s="30" t="str">
        <f t="shared" si="13"/>
        <v>-</v>
      </c>
      <c r="J84" s="2">
        <f t="shared" si="11"/>
        <v>0</v>
      </c>
      <c r="K84" s="2"/>
    </row>
    <row r="85" spans="5:11" x14ac:dyDescent="0.45">
      <c r="E85" s="5"/>
      <c r="F85" s="18">
        <f t="shared" si="14"/>
        <v>0</v>
      </c>
      <c r="G85" s="5">
        <f t="shared" si="10"/>
        <v>0</v>
      </c>
      <c r="H85" s="2" t="str">
        <f t="shared" si="12"/>
        <v>합격</v>
      </c>
      <c r="I85" s="30" t="str">
        <f t="shared" si="13"/>
        <v>-</v>
      </c>
      <c r="J85" s="2">
        <f t="shared" si="11"/>
        <v>0</v>
      </c>
      <c r="K85" s="2"/>
    </row>
    <row r="86" spans="5:11" x14ac:dyDescent="0.45">
      <c r="E86" s="5"/>
      <c r="F86" s="18">
        <f t="shared" si="14"/>
        <v>0</v>
      </c>
      <c r="G86" s="5">
        <f t="shared" si="10"/>
        <v>0</v>
      </c>
      <c r="H86" s="2" t="str">
        <f t="shared" si="12"/>
        <v>합격</v>
      </c>
      <c r="I86" s="30" t="str">
        <f t="shared" si="13"/>
        <v>-</v>
      </c>
      <c r="J86" s="2">
        <f t="shared" si="11"/>
        <v>0</v>
      </c>
      <c r="K86" s="2"/>
    </row>
    <row r="87" spans="5:11" x14ac:dyDescent="0.45">
      <c r="E87" s="5"/>
      <c r="F87" s="18">
        <f t="shared" si="14"/>
        <v>0</v>
      </c>
      <c r="G87" s="5">
        <f t="shared" si="10"/>
        <v>0</v>
      </c>
      <c r="H87" s="2" t="str">
        <f t="shared" si="12"/>
        <v>합격</v>
      </c>
      <c r="I87" s="30" t="str">
        <f t="shared" si="13"/>
        <v>-</v>
      </c>
      <c r="J87" s="2">
        <f t="shared" si="11"/>
        <v>0</v>
      </c>
      <c r="K87" s="2"/>
    </row>
    <row r="88" spans="5:11" x14ac:dyDescent="0.45">
      <c r="E88" s="5"/>
      <c r="F88" s="18">
        <f t="shared" si="14"/>
        <v>0</v>
      </c>
      <c r="G88" s="5">
        <f t="shared" si="10"/>
        <v>0</v>
      </c>
      <c r="H88" s="2" t="str">
        <f t="shared" si="12"/>
        <v>합격</v>
      </c>
      <c r="I88" s="30" t="str">
        <f t="shared" si="13"/>
        <v>-</v>
      </c>
      <c r="J88" s="2">
        <f t="shared" si="11"/>
        <v>0</v>
      </c>
      <c r="K88" s="2"/>
    </row>
    <row r="89" spans="5:11" x14ac:dyDescent="0.45">
      <c r="E89" s="5"/>
      <c r="F89" s="18">
        <f t="shared" si="14"/>
        <v>0</v>
      </c>
      <c r="G89" s="5">
        <f t="shared" si="10"/>
        <v>0</v>
      </c>
      <c r="H89" s="2" t="str">
        <f t="shared" si="12"/>
        <v>합격</v>
      </c>
      <c r="I89" s="30" t="str">
        <f t="shared" si="13"/>
        <v>-</v>
      </c>
      <c r="J89" s="2">
        <f t="shared" si="11"/>
        <v>0</v>
      </c>
      <c r="K89" s="2"/>
    </row>
    <row r="90" spans="5:11" x14ac:dyDescent="0.45">
      <c r="E90" s="5"/>
      <c r="F90" s="18">
        <f t="shared" si="14"/>
        <v>0</v>
      </c>
      <c r="G90" s="5">
        <f t="shared" si="10"/>
        <v>0</v>
      </c>
      <c r="H90" s="2" t="str">
        <f t="shared" si="12"/>
        <v>합격</v>
      </c>
      <c r="I90" s="30" t="str">
        <f t="shared" si="13"/>
        <v>-</v>
      </c>
      <c r="J90" s="2">
        <f t="shared" si="11"/>
        <v>0</v>
      </c>
      <c r="K90" s="2"/>
    </row>
    <row r="91" spans="5:11" x14ac:dyDescent="0.45">
      <c r="E91" s="5"/>
      <c r="F91" s="18">
        <f t="shared" si="14"/>
        <v>0</v>
      </c>
      <c r="G91" s="5">
        <f t="shared" si="10"/>
        <v>0</v>
      </c>
      <c r="H91" s="2" t="str">
        <f t="shared" si="12"/>
        <v>합격</v>
      </c>
      <c r="I91" s="30" t="str">
        <f t="shared" si="13"/>
        <v>-</v>
      </c>
      <c r="J91" s="2">
        <f t="shared" si="11"/>
        <v>0</v>
      </c>
      <c r="K91" s="2"/>
    </row>
    <row r="92" spans="5:11" x14ac:dyDescent="0.45">
      <c r="E92" s="5"/>
      <c r="F92" s="18">
        <f t="shared" si="14"/>
        <v>0</v>
      </c>
      <c r="G92" s="5">
        <f t="shared" si="10"/>
        <v>0</v>
      </c>
      <c r="H92" s="2" t="str">
        <f t="shared" si="12"/>
        <v>합격</v>
      </c>
      <c r="I92" s="30" t="str">
        <f t="shared" si="13"/>
        <v>-</v>
      </c>
      <c r="J92" s="2">
        <f t="shared" si="11"/>
        <v>0</v>
      </c>
      <c r="K92" s="2"/>
    </row>
    <row r="93" spans="5:11" x14ac:dyDescent="0.45">
      <c r="E93" s="5"/>
      <c r="F93" s="18">
        <f t="shared" si="14"/>
        <v>0</v>
      </c>
      <c r="G93" s="5">
        <f t="shared" si="10"/>
        <v>0</v>
      </c>
      <c r="H93" s="2" t="str">
        <f t="shared" si="12"/>
        <v>합격</v>
      </c>
      <c r="I93" s="30" t="str">
        <f t="shared" si="13"/>
        <v>-</v>
      </c>
      <c r="J93" s="2">
        <f t="shared" si="11"/>
        <v>0</v>
      </c>
      <c r="K93" s="2"/>
    </row>
    <row r="94" spans="5:11" x14ac:dyDescent="0.45">
      <c r="E94" s="5"/>
      <c r="F94" s="18">
        <f t="shared" si="14"/>
        <v>0</v>
      </c>
      <c r="G94" s="5">
        <f t="shared" si="10"/>
        <v>0</v>
      </c>
      <c r="H94" s="2" t="str">
        <f t="shared" si="12"/>
        <v>합격</v>
      </c>
      <c r="I94" s="30" t="str">
        <f t="shared" si="13"/>
        <v>-</v>
      </c>
      <c r="J94" s="2">
        <f t="shared" si="11"/>
        <v>0</v>
      </c>
      <c r="K94" s="2"/>
    </row>
    <row r="95" spans="5:11" x14ac:dyDescent="0.45">
      <c r="E95" s="5"/>
      <c r="F95" s="18">
        <f t="shared" si="14"/>
        <v>0</v>
      </c>
      <c r="G95" s="5">
        <f t="shared" si="10"/>
        <v>0</v>
      </c>
      <c r="H95" s="2" t="str">
        <f t="shared" si="12"/>
        <v>합격</v>
      </c>
      <c r="I95" s="30" t="str">
        <f t="shared" si="13"/>
        <v>-</v>
      </c>
      <c r="J95" s="2">
        <f t="shared" si="11"/>
        <v>0</v>
      </c>
      <c r="K95" s="2"/>
    </row>
    <row r="96" spans="5:11" x14ac:dyDescent="0.45">
      <c r="E96" s="5"/>
      <c r="F96" s="18">
        <f t="shared" si="14"/>
        <v>0</v>
      </c>
      <c r="G96" s="5">
        <f t="shared" si="10"/>
        <v>0</v>
      </c>
      <c r="H96" s="2" t="str">
        <f t="shared" si="12"/>
        <v>합격</v>
      </c>
      <c r="I96" s="30" t="str">
        <f t="shared" si="13"/>
        <v>-</v>
      </c>
      <c r="J96" s="2">
        <f t="shared" si="11"/>
        <v>0</v>
      </c>
      <c r="K96" s="2"/>
    </row>
    <row r="97" spans="5:11" x14ac:dyDescent="0.45">
      <c r="E97" s="5"/>
      <c r="F97" s="18">
        <f t="shared" si="14"/>
        <v>0</v>
      </c>
      <c r="G97" s="5">
        <f t="shared" si="10"/>
        <v>0</v>
      </c>
      <c r="H97" s="2" t="str">
        <f t="shared" si="12"/>
        <v>합격</v>
      </c>
      <c r="I97" s="30" t="str">
        <f t="shared" si="13"/>
        <v>-</v>
      </c>
      <c r="J97" s="2">
        <f t="shared" si="11"/>
        <v>0</v>
      </c>
      <c r="K97" s="2"/>
    </row>
    <row r="98" spans="5:11" x14ac:dyDescent="0.45">
      <c r="E98" s="5"/>
      <c r="F98" s="18">
        <f t="shared" si="14"/>
        <v>0</v>
      </c>
      <c r="G98" s="5">
        <f t="shared" ref="G98:G129" si="15">IFERROR(POWER((B98/C98)*F98^3,1/3),0)</f>
        <v>0</v>
      </c>
      <c r="H98" s="2" t="str">
        <f t="shared" si="12"/>
        <v>합격</v>
      </c>
      <c r="I98" s="30" t="str">
        <f t="shared" si="13"/>
        <v>-</v>
      </c>
      <c r="J98" s="2">
        <f t="shared" ref="J98:J129" si="16">A98</f>
        <v>0</v>
      </c>
      <c r="K98" s="2"/>
    </row>
    <row r="99" spans="5:11" x14ac:dyDescent="0.45">
      <c r="E99" s="5"/>
      <c r="F99" s="18">
        <f t="shared" si="14"/>
        <v>0</v>
      </c>
      <c r="G99" s="5">
        <f t="shared" si="15"/>
        <v>0</v>
      </c>
      <c r="H99" s="2" t="str">
        <f t="shared" si="12"/>
        <v>합격</v>
      </c>
      <c r="I99" s="30" t="str">
        <f t="shared" si="13"/>
        <v>-</v>
      </c>
      <c r="J99" s="2">
        <f t="shared" si="16"/>
        <v>0</v>
      </c>
      <c r="K99" s="2"/>
    </row>
    <row r="100" spans="5:11" x14ac:dyDescent="0.45">
      <c r="E100" s="5"/>
      <c r="F100" s="18">
        <f t="shared" si="14"/>
        <v>0</v>
      </c>
      <c r="G100" s="5">
        <f t="shared" si="15"/>
        <v>0</v>
      </c>
      <c r="H100" s="2" t="str">
        <f t="shared" si="12"/>
        <v>합격</v>
      </c>
      <c r="I100" s="30" t="str">
        <f t="shared" si="13"/>
        <v>-</v>
      </c>
      <c r="J100" s="2">
        <f t="shared" si="16"/>
        <v>0</v>
      </c>
      <c r="K100" s="2"/>
    </row>
    <row r="101" spans="5:11" x14ac:dyDescent="0.45">
      <c r="E101" s="5"/>
      <c r="F101" s="18">
        <f t="shared" si="14"/>
        <v>0</v>
      </c>
      <c r="G101" s="5">
        <f t="shared" si="15"/>
        <v>0</v>
      </c>
      <c r="H101" s="2" t="str">
        <f t="shared" si="12"/>
        <v>합격</v>
      </c>
      <c r="I101" s="30" t="str">
        <f t="shared" si="13"/>
        <v>-</v>
      </c>
      <c r="J101" s="2">
        <f t="shared" si="16"/>
        <v>0</v>
      </c>
      <c r="K101" s="2"/>
    </row>
    <row r="102" spans="5:11" x14ac:dyDescent="0.45">
      <c r="E102" s="5"/>
      <c r="F102" s="18">
        <f t="shared" si="14"/>
        <v>0</v>
      </c>
      <c r="G102" s="5">
        <f t="shared" si="15"/>
        <v>0</v>
      </c>
      <c r="H102" s="2" t="str">
        <f t="shared" si="12"/>
        <v>합격</v>
      </c>
      <c r="I102" s="30" t="str">
        <f t="shared" si="13"/>
        <v>-</v>
      </c>
      <c r="J102" s="2">
        <f t="shared" si="16"/>
        <v>0</v>
      </c>
      <c r="K102" s="2"/>
    </row>
    <row r="103" spans="5:11" x14ac:dyDescent="0.45">
      <c r="E103" s="5"/>
      <c r="F103" s="18">
        <f t="shared" si="14"/>
        <v>0</v>
      </c>
      <c r="G103" s="5">
        <f t="shared" si="15"/>
        <v>0</v>
      </c>
      <c r="H103" s="2" t="str">
        <f t="shared" si="12"/>
        <v>합격</v>
      </c>
      <c r="I103" s="30" t="str">
        <f t="shared" si="13"/>
        <v>-</v>
      </c>
      <c r="J103" s="2">
        <f t="shared" si="16"/>
        <v>0</v>
      </c>
      <c r="K103" s="2"/>
    </row>
    <row r="104" spans="5:11" x14ac:dyDescent="0.45">
      <c r="E104" s="5"/>
      <c r="F104" s="18">
        <f t="shared" si="14"/>
        <v>0</v>
      </c>
      <c r="G104" s="5">
        <f t="shared" si="15"/>
        <v>0</v>
      </c>
      <c r="H104" s="2" t="str">
        <f t="shared" si="12"/>
        <v>합격</v>
      </c>
      <c r="I104" s="30" t="str">
        <f t="shared" si="13"/>
        <v>-</v>
      </c>
      <c r="J104" s="2">
        <f t="shared" si="16"/>
        <v>0</v>
      </c>
      <c r="K104" s="2"/>
    </row>
    <row r="105" spans="5:11" x14ac:dyDescent="0.45">
      <c r="E105" s="5"/>
      <c r="F105" s="18">
        <f t="shared" si="14"/>
        <v>0</v>
      </c>
      <c r="G105" s="5">
        <f t="shared" si="15"/>
        <v>0</v>
      </c>
      <c r="H105" s="2" t="str">
        <f t="shared" si="12"/>
        <v>합격</v>
      </c>
      <c r="I105" s="30" t="str">
        <f t="shared" si="13"/>
        <v>-</v>
      </c>
      <c r="J105" s="2">
        <f t="shared" si="16"/>
        <v>0</v>
      </c>
      <c r="K105" s="2"/>
    </row>
    <row r="106" spans="5:11" x14ac:dyDescent="0.45">
      <c r="E106" s="5"/>
      <c r="F106" s="18">
        <f t="shared" si="14"/>
        <v>0</v>
      </c>
      <c r="G106" s="5">
        <f t="shared" si="15"/>
        <v>0</v>
      </c>
      <c r="H106" s="2" t="str">
        <f t="shared" si="12"/>
        <v>합격</v>
      </c>
      <c r="I106" s="30" t="str">
        <f t="shared" si="13"/>
        <v>-</v>
      </c>
      <c r="J106" s="2">
        <f t="shared" si="16"/>
        <v>0</v>
      </c>
      <c r="K106" s="2"/>
    </row>
    <row r="107" spans="5:11" x14ac:dyDescent="0.45">
      <c r="E107" s="5"/>
      <c r="F107" s="18">
        <f t="shared" si="14"/>
        <v>0</v>
      </c>
      <c r="G107" s="5">
        <f t="shared" si="15"/>
        <v>0</v>
      </c>
      <c r="H107" s="2" t="str">
        <f t="shared" si="12"/>
        <v>합격</v>
      </c>
      <c r="I107" s="30" t="str">
        <f t="shared" si="13"/>
        <v>-</v>
      </c>
      <c r="J107" s="2">
        <f t="shared" si="16"/>
        <v>0</v>
      </c>
      <c r="K107" s="2"/>
    </row>
    <row r="108" spans="5:11" x14ac:dyDescent="0.45">
      <c r="E108" s="5"/>
      <c r="F108" s="18">
        <f t="shared" si="14"/>
        <v>0</v>
      </c>
      <c r="G108" s="5">
        <f t="shared" si="15"/>
        <v>0</v>
      </c>
      <c r="H108" s="2" t="str">
        <f t="shared" si="12"/>
        <v>합격</v>
      </c>
      <c r="I108" s="30" t="str">
        <f t="shared" si="13"/>
        <v>-</v>
      </c>
      <c r="J108" s="2">
        <f t="shared" si="16"/>
        <v>0</v>
      </c>
      <c r="K108" s="2"/>
    </row>
    <row r="109" spans="5:11" x14ac:dyDescent="0.45">
      <c r="E109" s="5"/>
      <c r="F109" s="18">
        <f t="shared" si="14"/>
        <v>0</v>
      </c>
      <c r="G109" s="5">
        <f t="shared" si="15"/>
        <v>0</v>
      </c>
      <c r="H109" s="2" t="str">
        <f t="shared" si="12"/>
        <v>합격</v>
      </c>
      <c r="I109" s="30" t="str">
        <f t="shared" si="13"/>
        <v>-</v>
      </c>
      <c r="J109" s="2">
        <f t="shared" si="16"/>
        <v>0</v>
      </c>
      <c r="K109" s="2"/>
    </row>
    <row r="110" spans="5:11" x14ac:dyDescent="0.45">
      <c r="E110" s="5"/>
      <c r="F110" s="18">
        <f t="shared" si="14"/>
        <v>0</v>
      </c>
      <c r="G110" s="5">
        <f t="shared" si="15"/>
        <v>0</v>
      </c>
      <c r="H110" s="2" t="str">
        <f t="shared" si="12"/>
        <v>합격</v>
      </c>
      <c r="I110" s="30" t="str">
        <f t="shared" si="13"/>
        <v>-</v>
      </c>
      <c r="J110" s="2">
        <f t="shared" si="16"/>
        <v>0</v>
      </c>
      <c r="K110" s="2"/>
    </row>
    <row r="111" spans="5:11" x14ac:dyDescent="0.45">
      <c r="E111" s="5"/>
      <c r="F111" s="18">
        <f t="shared" si="14"/>
        <v>0</v>
      </c>
      <c r="G111" s="5">
        <f t="shared" si="15"/>
        <v>0</v>
      </c>
      <c r="H111" s="2" t="str">
        <f t="shared" si="12"/>
        <v>합격</v>
      </c>
      <c r="I111" s="30" t="str">
        <f t="shared" si="13"/>
        <v>-</v>
      </c>
      <c r="J111" s="2">
        <f t="shared" si="16"/>
        <v>0</v>
      </c>
      <c r="K111" s="2"/>
    </row>
    <row r="112" spans="5:11" x14ac:dyDescent="0.45">
      <c r="E112" s="5"/>
      <c r="F112" s="18">
        <f t="shared" si="14"/>
        <v>0</v>
      </c>
      <c r="G112" s="5">
        <f t="shared" si="15"/>
        <v>0</v>
      </c>
      <c r="H112" s="2" t="str">
        <f t="shared" si="12"/>
        <v>합격</v>
      </c>
      <c r="I112" s="30" t="str">
        <f t="shared" si="13"/>
        <v>-</v>
      </c>
      <c r="J112" s="2">
        <f t="shared" si="16"/>
        <v>0</v>
      </c>
      <c r="K112" s="2"/>
    </row>
    <row r="113" spans="5:11" x14ac:dyDescent="0.45">
      <c r="E113" s="5"/>
      <c r="F113" s="18">
        <f t="shared" si="14"/>
        <v>0</v>
      </c>
      <c r="G113" s="5">
        <f t="shared" si="15"/>
        <v>0</v>
      </c>
      <c r="H113" s="2" t="str">
        <f t="shared" si="12"/>
        <v>합격</v>
      </c>
      <c r="I113" s="30" t="str">
        <f t="shared" si="13"/>
        <v>-</v>
      </c>
      <c r="J113" s="2">
        <f t="shared" si="16"/>
        <v>0</v>
      </c>
      <c r="K113" s="2"/>
    </row>
    <row r="114" spans="5:11" x14ac:dyDescent="0.45">
      <c r="E114" s="5"/>
      <c r="F114" s="18">
        <f t="shared" si="14"/>
        <v>0</v>
      </c>
      <c r="G114" s="5">
        <f t="shared" si="15"/>
        <v>0</v>
      </c>
      <c r="H114" s="2" t="str">
        <f t="shared" si="12"/>
        <v>합격</v>
      </c>
      <c r="I114" s="30" t="str">
        <f t="shared" si="13"/>
        <v>-</v>
      </c>
      <c r="J114" s="2">
        <f t="shared" si="16"/>
        <v>0</v>
      </c>
      <c r="K114" s="2"/>
    </row>
    <row r="115" spans="5:11" x14ac:dyDescent="0.45">
      <c r="E115" s="5"/>
      <c r="F115" s="18">
        <f t="shared" si="14"/>
        <v>0</v>
      </c>
      <c r="G115" s="5">
        <f t="shared" si="15"/>
        <v>0</v>
      </c>
      <c r="H115" s="2" t="str">
        <f t="shared" si="12"/>
        <v>합격</v>
      </c>
      <c r="I115" s="30" t="str">
        <f t="shared" si="13"/>
        <v>-</v>
      </c>
      <c r="J115" s="2">
        <f t="shared" si="16"/>
        <v>0</v>
      </c>
      <c r="K115" s="2"/>
    </row>
    <row r="116" spans="5:11" x14ac:dyDescent="0.45">
      <c r="E116" s="5"/>
      <c r="F116" s="18">
        <f t="shared" si="14"/>
        <v>0</v>
      </c>
      <c r="G116" s="5">
        <f t="shared" si="15"/>
        <v>0</v>
      </c>
      <c r="H116" s="2" t="str">
        <f t="shared" si="12"/>
        <v>합격</v>
      </c>
      <c r="I116" s="30" t="str">
        <f t="shared" si="13"/>
        <v>-</v>
      </c>
      <c r="J116" s="2">
        <f t="shared" si="16"/>
        <v>0</v>
      </c>
      <c r="K116" s="2"/>
    </row>
    <row r="117" spans="5:11" x14ac:dyDescent="0.45">
      <c r="E117" s="5"/>
      <c r="F117" s="18">
        <f t="shared" si="14"/>
        <v>0</v>
      </c>
      <c r="G117" s="5">
        <f t="shared" si="15"/>
        <v>0</v>
      </c>
      <c r="H117" s="2" t="str">
        <f t="shared" si="12"/>
        <v>합격</v>
      </c>
      <c r="I117" s="30" t="str">
        <f t="shared" si="13"/>
        <v>-</v>
      </c>
      <c r="J117" s="2">
        <f t="shared" si="16"/>
        <v>0</v>
      </c>
      <c r="K117" s="2"/>
    </row>
    <row r="118" spans="5:11" x14ac:dyDescent="0.45">
      <c r="E118" s="5"/>
      <c r="F118" s="18">
        <f t="shared" si="14"/>
        <v>0</v>
      </c>
      <c r="G118" s="5">
        <f t="shared" si="15"/>
        <v>0</v>
      </c>
      <c r="H118" s="2" t="str">
        <f t="shared" si="12"/>
        <v>합격</v>
      </c>
      <c r="I118" s="30" t="str">
        <f t="shared" si="13"/>
        <v>-</v>
      </c>
      <c r="J118" s="2">
        <f t="shared" si="16"/>
        <v>0</v>
      </c>
      <c r="K118" s="2"/>
    </row>
    <row r="119" spans="5:11" x14ac:dyDescent="0.45">
      <c r="E119" s="5"/>
      <c r="F119" s="18">
        <f t="shared" si="14"/>
        <v>0</v>
      </c>
      <c r="G119" s="5">
        <f t="shared" si="15"/>
        <v>0</v>
      </c>
      <c r="H119" s="2" t="str">
        <f t="shared" si="12"/>
        <v>합격</v>
      </c>
      <c r="I119" s="30" t="str">
        <f t="shared" si="13"/>
        <v>-</v>
      </c>
      <c r="J119" s="2">
        <f t="shared" si="16"/>
        <v>0</v>
      </c>
      <c r="K119" s="2"/>
    </row>
    <row r="120" spans="5:11" x14ac:dyDescent="0.45">
      <c r="E120" s="5"/>
      <c r="F120" s="18">
        <f t="shared" si="14"/>
        <v>0</v>
      </c>
      <c r="G120" s="5">
        <f t="shared" si="15"/>
        <v>0</v>
      </c>
      <c r="H120" s="2" t="str">
        <f t="shared" si="12"/>
        <v>합격</v>
      </c>
      <c r="I120" s="30" t="str">
        <f t="shared" si="13"/>
        <v>-</v>
      </c>
      <c r="J120" s="2">
        <f t="shared" si="16"/>
        <v>0</v>
      </c>
      <c r="K120" s="2"/>
    </row>
    <row r="121" spans="5:11" x14ac:dyDescent="0.45">
      <c r="E121" s="5"/>
      <c r="F121" s="18">
        <f t="shared" si="14"/>
        <v>0</v>
      </c>
      <c r="G121" s="5">
        <f t="shared" si="15"/>
        <v>0</v>
      </c>
      <c r="H121" s="2" t="str">
        <f t="shared" si="12"/>
        <v>합격</v>
      </c>
      <c r="I121" s="30" t="str">
        <f t="shared" si="13"/>
        <v>-</v>
      </c>
      <c r="J121" s="2">
        <f t="shared" si="16"/>
        <v>0</v>
      </c>
      <c r="K121" s="2"/>
    </row>
    <row r="122" spans="5:11" x14ac:dyDescent="0.45">
      <c r="E122" s="5"/>
      <c r="F122" s="18">
        <f t="shared" si="14"/>
        <v>0</v>
      </c>
      <c r="G122" s="5">
        <f t="shared" si="15"/>
        <v>0</v>
      </c>
      <c r="H122" s="2" t="str">
        <f t="shared" si="12"/>
        <v>합격</v>
      </c>
      <c r="I122" s="30" t="str">
        <f t="shared" si="13"/>
        <v>-</v>
      </c>
      <c r="J122" s="2">
        <f t="shared" si="16"/>
        <v>0</v>
      </c>
      <c r="K122" s="2"/>
    </row>
    <row r="123" spans="5:11" x14ac:dyDescent="0.45">
      <c r="E123" s="5"/>
      <c r="F123" s="18">
        <f t="shared" si="14"/>
        <v>0</v>
      </c>
      <c r="G123" s="5">
        <f t="shared" si="15"/>
        <v>0</v>
      </c>
      <c r="H123" s="2" t="str">
        <f t="shared" si="12"/>
        <v>합격</v>
      </c>
      <c r="I123" s="30" t="str">
        <f t="shared" si="13"/>
        <v>-</v>
      </c>
      <c r="J123" s="2">
        <f t="shared" si="16"/>
        <v>0</v>
      </c>
      <c r="K123" s="2"/>
    </row>
    <row r="124" spans="5:11" x14ac:dyDescent="0.45">
      <c r="E124" s="5"/>
      <c r="F124" s="18">
        <f t="shared" si="14"/>
        <v>0</v>
      </c>
      <c r="G124" s="5">
        <f t="shared" si="15"/>
        <v>0</v>
      </c>
      <c r="H124" s="2" t="str">
        <f t="shared" si="12"/>
        <v>합격</v>
      </c>
      <c r="I124" s="30" t="str">
        <f t="shared" si="13"/>
        <v>-</v>
      </c>
      <c r="J124" s="2">
        <f t="shared" si="16"/>
        <v>0</v>
      </c>
      <c r="K124" s="2"/>
    </row>
    <row r="125" spans="5:11" x14ac:dyDescent="0.45">
      <c r="E125" s="5"/>
      <c r="F125" s="18">
        <f t="shared" si="14"/>
        <v>0</v>
      </c>
      <c r="G125" s="5">
        <f t="shared" si="15"/>
        <v>0</v>
      </c>
      <c r="H125" s="2" t="str">
        <f t="shared" si="12"/>
        <v>합격</v>
      </c>
      <c r="I125" s="30" t="str">
        <f t="shared" si="13"/>
        <v>-</v>
      </c>
      <c r="J125" s="2">
        <f t="shared" si="16"/>
        <v>0</v>
      </c>
      <c r="K125" s="2"/>
    </row>
    <row r="126" spans="5:11" x14ac:dyDescent="0.45">
      <c r="E126" s="5"/>
      <c r="F126" s="18">
        <f t="shared" si="14"/>
        <v>0</v>
      </c>
      <c r="G126" s="5">
        <f t="shared" si="15"/>
        <v>0</v>
      </c>
      <c r="H126" s="2" t="str">
        <f t="shared" si="12"/>
        <v>합격</v>
      </c>
      <c r="I126" s="30" t="str">
        <f t="shared" si="13"/>
        <v>-</v>
      </c>
      <c r="J126" s="2">
        <f t="shared" si="16"/>
        <v>0</v>
      </c>
      <c r="K126" s="2"/>
    </row>
    <row r="127" spans="5:11" x14ac:dyDescent="0.45">
      <c r="E127" s="5"/>
      <c r="F127" s="18">
        <f t="shared" si="14"/>
        <v>0</v>
      </c>
      <c r="G127" s="5">
        <f t="shared" si="15"/>
        <v>0</v>
      </c>
      <c r="H127" s="2" t="str">
        <f t="shared" si="12"/>
        <v>합격</v>
      </c>
      <c r="I127" s="30" t="str">
        <f t="shared" si="13"/>
        <v>-</v>
      </c>
      <c r="J127" s="2">
        <f t="shared" si="16"/>
        <v>0</v>
      </c>
      <c r="K127" s="2"/>
    </row>
    <row r="128" spans="5:11" x14ac:dyDescent="0.45">
      <c r="E128" s="5"/>
      <c r="F128" s="18">
        <f t="shared" si="14"/>
        <v>0</v>
      </c>
      <c r="G128" s="5">
        <f t="shared" si="15"/>
        <v>0</v>
      </c>
      <c r="H128" s="2" t="str">
        <f t="shared" si="12"/>
        <v>합격</v>
      </c>
      <c r="I128" s="30" t="str">
        <f t="shared" si="13"/>
        <v>-</v>
      </c>
      <c r="J128" s="2">
        <f t="shared" si="16"/>
        <v>0</v>
      </c>
      <c r="K128" s="2"/>
    </row>
    <row r="129" spans="5:11" x14ac:dyDescent="0.45">
      <c r="E129" s="5"/>
      <c r="F129" s="18">
        <f t="shared" si="14"/>
        <v>0</v>
      </c>
      <c r="G129" s="5">
        <f t="shared" si="15"/>
        <v>0</v>
      </c>
      <c r="H129" s="2" t="str">
        <f t="shared" si="12"/>
        <v>합격</v>
      </c>
      <c r="I129" s="30" t="str">
        <f t="shared" si="13"/>
        <v>-</v>
      </c>
      <c r="J129" s="2">
        <f t="shared" si="16"/>
        <v>0</v>
      </c>
      <c r="K129" s="2"/>
    </row>
    <row r="130" spans="5:11" x14ac:dyDescent="0.45">
      <c r="E130" s="5"/>
      <c r="F130" s="18">
        <f t="shared" si="14"/>
        <v>0</v>
      </c>
      <c r="G130" s="5">
        <f t="shared" ref="G130:G161" si="17">IFERROR(POWER((B130/C130)*F130^3,1/3),0)</f>
        <v>0</v>
      </c>
      <c r="H130" s="2" t="str">
        <f t="shared" si="12"/>
        <v>합격</v>
      </c>
      <c r="I130" s="30" t="str">
        <f t="shared" si="13"/>
        <v>-</v>
      </c>
      <c r="J130" s="2">
        <f t="shared" ref="J130:J161" si="18">A130</f>
        <v>0</v>
      </c>
      <c r="K130" s="2"/>
    </row>
    <row r="131" spans="5:11" x14ac:dyDescent="0.45">
      <c r="E131" s="5"/>
      <c r="F131" s="18">
        <f t="shared" si="14"/>
        <v>0</v>
      </c>
      <c r="G131" s="5">
        <f t="shared" si="17"/>
        <v>0</v>
      </c>
      <c r="H131" s="2" t="str">
        <f t="shared" si="12"/>
        <v>합격</v>
      </c>
      <c r="I131" s="30" t="str">
        <f t="shared" si="13"/>
        <v>-</v>
      </c>
      <c r="J131" s="2">
        <f t="shared" si="18"/>
        <v>0</v>
      </c>
      <c r="K131" s="2"/>
    </row>
    <row r="132" spans="5:11" x14ac:dyDescent="0.45">
      <c r="E132" s="5"/>
      <c r="F132" s="18">
        <f t="shared" si="14"/>
        <v>0</v>
      </c>
      <c r="G132" s="5">
        <f t="shared" si="17"/>
        <v>0</v>
      </c>
      <c r="H132" s="2" t="str">
        <f t="shared" si="12"/>
        <v>합격</v>
      </c>
      <c r="I132" s="30" t="str">
        <f t="shared" si="13"/>
        <v>-</v>
      </c>
      <c r="J132" s="2">
        <f t="shared" si="18"/>
        <v>0</v>
      </c>
      <c r="K132" s="2"/>
    </row>
    <row r="133" spans="5:11" x14ac:dyDescent="0.45">
      <c r="E133" s="5"/>
      <c r="F133" s="18">
        <f t="shared" si="14"/>
        <v>0</v>
      </c>
      <c r="G133" s="5">
        <f t="shared" si="17"/>
        <v>0</v>
      </c>
      <c r="H133" s="2" t="str">
        <f t="shared" si="12"/>
        <v>합격</v>
      </c>
      <c r="I133" s="30" t="str">
        <f t="shared" si="13"/>
        <v>-</v>
      </c>
      <c r="J133" s="2">
        <f t="shared" si="18"/>
        <v>0</v>
      </c>
      <c r="K133" s="2"/>
    </row>
    <row r="134" spans="5:11" x14ac:dyDescent="0.45">
      <c r="E134" s="5"/>
      <c r="F134" s="18">
        <f t="shared" si="14"/>
        <v>0</v>
      </c>
      <c r="G134" s="5">
        <f t="shared" si="17"/>
        <v>0</v>
      </c>
      <c r="H134" s="2" t="str">
        <f t="shared" si="12"/>
        <v>합격</v>
      </c>
      <c r="I134" s="30" t="str">
        <f t="shared" si="13"/>
        <v>-</v>
      </c>
      <c r="J134" s="2">
        <f t="shared" si="18"/>
        <v>0</v>
      </c>
      <c r="K134" s="2"/>
    </row>
    <row r="135" spans="5:11" x14ac:dyDescent="0.45">
      <c r="E135" s="5"/>
      <c r="F135" s="18">
        <f t="shared" si="14"/>
        <v>0</v>
      </c>
      <c r="G135" s="5">
        <f t="shared" si="17"/>
        <v>0</v>
      </c>
      <c r="H135" s="2" t="str">
        <f t="shared" si="12"/>
        <v>합격</v>
      </c>
      <c r="I135" s="30" t="str">
        <f t="shared" si="13"/>
        <v>-</v>
      </c>
      <c r="J135" s="2">
        <f t="shared" si="18"/>
        <v>0</v>
      </c>
      <c r="K135" s="2"/>
    </row>
    <row r="136" spans="5:11" x14ac:dyDescent="0.45">
      <c r="E136" s="5"/>
      <c r="F136" s="18">
        <f t="shared" si="14"/>
        <v>0</v>
      </c>
      <c r="G136" s="5">
        <f t="shared" si="17"/>
        <v>0</v>
      </c>
      <c r="H136" s="2" t="str">
        <f t="shared" si="12"/>
        <v>합격</v>
      </c>
      <c r="I136" s="30" t="str">
        <f t="shared" si="13"/>
        <v>-</v>
      </c>
      <c r="J136" s="2">
        <f t="shared" si="18"/>
        <v>0</v>
      </c>
      <c r="K136" s="2"/>
    </row>
    <row r="137" spans="5:11" x14ac:dyDescent="0.45">
      <c r="E137" s="5"/>
      <c r="F137" s="18">
        <f t="shared" si="14"/>
        <v>0</v>
      </c>
      <c r="G137" s="5">
        <f t="shared" si="17"/>
        <v>0</v>
      </c>
      <c r="H137" s="2" t="str">
        <f t="shared" si="12"/>
        <v>합격</v>
      </c>
      <c r="I137" s="30" t="str">
        <f t="shared" si="13"/>
        <v>-</v>
      </c>
      <c r="J137" s="2">
        <f t="shared" si="18"/>
        <v>0</v>
      </c>
      <c r="K137" s="2"/>
    </row>
    <row r="138" spans="5:11" x14ac:dyDescent="0.45">
      <c r="E138" s="5"/>
      <c r="F138" s="18">
        <f t="shared" ref="F138:F201" si="19">IFERROR(D138/60,"-")</f>
        <v>0</v>
      </c>
      <c r="G138" s="5">
        <f t="shared" si="17"/>
        <v>0</v>
      </c>
      <c r="H138" s="2" t="str">
        <f t="shared" si="12"/>
        <v>합격</v>
      </c>
      <c r="I138" s="30" t="str">
        <f t="shared" si="13"/>
        <v>-</v>
      </c>
      <c r="J138" s="2">
        <f t="shared" si="18"/>
        <v>0</v>
      </c>
      <c r="K138" s="2"/>
    </row>
    <row r="139" spans="5:11" x14ac:dyDescent="0.45">
      <c r="E139" s="5"/>
      <c r="F139" s="18">
        <f t="shared" si="19"/>
        <v>0</v>
      </c>
      <c r="G139" s="5">
        <f t="shared" si="17"/>
        <v>0</v>
      </c>
      <c r="H139" s="2" t="str">
        <f t="shared" ref="H139:H202" si="20">IF(OR(E139&lt;F139*0.8,E139&gt;F139*1.2),"불합격","합격")</f>
        <v>합격</v>
      </c>
      <c r="I139" s="30" t="str">
        <f t="shared" ref="I139:I202" si="21">IFERROR(E139/F139,"-")</f>
        <v>-</v>
      </c>
      <c r="J139" s="2">
        <f t="shared" si="18"/>
        <v>0</v>
      </c>
      <c r="K139" s="2"/>
    </row>
    <row r="140" spans="5:11" x14ac:dyDescent="0.45">
      <c r="E140" s="5"/>
      <c r="F140" s="18">
        <f t="shared" si="19"/>
        <v>0</v>
      </c>
      <c r="G140" s="5">
        <f t="shared" si="17"/>
        <v>0</v>
      </c>
      <c r="H140" s="2" t="str">
        <f t="shared" si="20"/>
        <v>합격</v>
      </c>
      <c r="I140" s="30" t="str">
        <f t="shared" si="21"/>
        <v>-</v>
      </c>
      <c r="J140" s="2">
        <f t="shared" si="18"/>
        <v>0</v>
      </c>
      <c r="K140" s="2"/>
    </row>
    <row r="141" spans="5:11" x14ac:dyDescent="0.45">
      <c r="E141" s="5"/>
      <c r="F141" s="18">
        <f t="shared" si="19"/>
        <v>0</v>
      </c>
      <c r="G141" s="5">
        <f t="shared" si="17"/>
        <v>0</v>
      </c>
      <c r="H141" s="2" t="str">
        <f t="shared" si="20"/>
        <v>합격</v>
      </c>
      <c r="I141" s="30" t="str">
        <f t="shared" si="21"/>
        <v>-</v>
      </c>
      <c r="J141" s="2">
        <f t="shared" si="18"/>
        <v>0</v>
      </c>
      <c r="K141" s="2"/>
    </row>
    <row r="142" spans="5:11" x14ac:dyDescent="0.45">
      <c r="E142" s="5"/>
      <c r="F142" s="18">
        <f t="shared" si="19"/>
        <v>0</v>
      </c>
      <c r="G142" s="5">
        <f t="shared" si="17"/>
        <v>0</v>
      </c>
      <c r="H142" s="2" t="str">
        <f t="shared" si="20"/>
        <v>합격</v>
      </c>
      <c r="I142" s="30" t="str">
        <f t="shared" si="21"/>
        <v>-</v>
      </c>
      <c r="J142" s="2">
        <f t="shared" si="18"/>
        <v>0</v>
      </c>
      <c r="K142" s="2"/>
    </row>
    <row r="143" spans="5:11" x14ac:dyDescent="0.45">
      <c r="E143" s="5"/>
      <c r="F143" s="18">
        <f t="shared" si="19"/>
        <v>0</v>
      </c>
      <c r="G143" s="5">
        <f t="shared" si="17"/>
        <v>0</v>
      </c>
      <c r="H143" s="2" t="str">
        <f t="shared" si="20"/>
        <v>합격</v>
      </c>
      <c r="I143" s="30" t="str">
        <f t="shared" si="21"/>
        <v>-</v>
      </c>
      <c r="J143" s="2">
        <f t="shared" si="18"/>
        <v>0</v>
      </c>
      <c r="K143" s="2"/>
    </row>
    <row r="144" spans="5:11" x14ac:dyDescent="0.45">
      <c r="E144" s="5"/>
      <c r="F144" s="18">
        <f t="shared" si="19"/>
        <v>0</v>
      </c>
      <c r="G144" s="5">
        <f t="shared" si="17"/>
        <v>0</v>
      </c>
      <c r="H144" s="2" t="str">
        <f t="shared" si="20"/>
        <v>합격</v>
      </c>
      <c r="I144" s="30" t="str">
        <f t="shared" si="21"/>
        <v>-</v>
      </c>
      <c r="J144" s="2">
        <f t="shared" si="18"/>
        <v>0</v>
      </c>
      <c r="K144" s="2"/>
    </row>
    <row r="145" spans="5:11" x14ac:dyDescent="0.45">
      <c r="E145" s="5"/>
      <c r="F145" s="18">
        <f t="shared" si="19"/>
        <v>0</v>
      </c>
      <c r="G145" s="5">
        <f t="shared" si="17"/>
        <v>0</v>
      </c>
      <c r="H145" s="2" t="str">
        <f t="shared" si="20"/>
        <v>합격</v>
      </c>
      <c r="I145" s="30" t="str">
        <f t="shared" si="21"/>
        <v>-</v>
      </c>
      <c r="J145" s="2">
        <f t="shared" si="18"/>
        <v>0</v>
      </c>
      <c r="K145" s="2"/>
    </row>
    <row r="146" spans="5:11" x14ac:dyDescent="0.45">
      <c r="E146" s="5"/>
      <c r="F146" s="18">
        <f t="shared" si="19"/>
        <v>0</v>
      </c>
      <c r="G146" s="5">
        <f t="shared" si="17"/>
        <v>0</v>
      </c>
      <c r="H146" s="2" t="str">
        <f t="shared" si="20"/>
        <v>합격</v>
      </c>
      <c r="I146" s="30" t="str">
        <f t="shared" si="21"/>
        <v>-</v>
      </c>
      <c r="J146" s="2">
        <f t="shared" si="18"/>
        <v>0</v>
      </c>
      <c r="K146" s="2"/>
    </row>
    <row r="147" spans="5:11" x14ac:dyDescent="0.45">
      <c r="E147" s="5"/>
      <c r="F147" s="18">
        <f t="shared" si="19"/>
        <v>0</v>
      </c>
      <c r="G147" s="5">
        <f t="shared" si="17"/>
        <v>0</v>
      </c>
      <c r="H147" s="2" t="str">
        <f t="shared" si="20"/>
        <v>합격</v>
      </c>
      <c r="I147" s="30" t="str">
        <f t="shared" si="21"/>
        <v>-</v>
      </c>
      <c r="J147" s="2">
        <f t="shared" si="18"/>
        <v>0</v>
      </c>
      <c r="K147" s="2"/>
    </row>
    <row r="148" spans="5:11" x14ac:dyDescent="0.45">
      <c r="E148" s="5"/>
      <c r="F148" s="18">
        <f t="shared" si="19"/>
        <v>0</v>
      </c>
      <c r="G148" s="5">
        <f t="shared" si="17"/>
        <v>0</v>
      </c>
      <c r="H148" s="2" t="str">
        <f t="shared" si="20"/>
        <v>합격</v>
      </c>
      <c r="I148" s="30" t="str">
        <f t="shared" si="21"/>
        <v>-</v>
      </c>
      <c r="J148" s="2">
        <f t="shared" si="18"/>
        <v>0</v>
      </c>
      <c r="K148" s="2"/>
    </row>
    <row r="149" spans="5:11" x14ac:dyDescent="0.45">
      <c r="E149" s="5"/>
      <c r="F149" s="18">
        <f t="shared" si="19"/>
        <v>0</v>
      </c>
      <c r="G149" s="5">
        <f t="shared" si="17"/>
        <v>0</v>
      </c>
      <c r="H149" s="2" t="str">
        <f t="shared" si="20"/>
        <v>합격</v>
      </c>
      <c r="I149" s="30" t="str">
        <f t="shared" si="21"/>
        <v>-</v>
      </c>
      <c r="J149" s="2">
        <f t="shared" si="18"/>
        <v>0</v>
      </c>
      <c r="K149" s="2"/>
    </row>
    <row r="150" spans="5:11" x14ac:dyDescent="0.45">
      <c r="E150" s="5"/>
      <c r="F150" s="18">
        <f t="shared" si="19"/>
        <v>0</v>
      </c>
      <c r="G150" s="5">
        <f t="shared" si="17"/>
        <v>0</v>
      </c>
      <c r="H150" s="2" t="str">
        <f t="shared" si="20"/>
        <v>합격</v>
      </c>
      <c r="I150" s="30" t="str">
        <f t="shared" si="21"/>
        <v>-</v>
      </c>
      <c r="J150" s="2">
        <f t="shared" si="18"/>
        <v>0</v>
      </c>
      <c r="K150" s="2"/>
    </row>
    <row r="151" spans="5:11" x14ac:dyDescent="0.45">
      <c r="E151" s="5"/>
      <c r="F151" s="18">
        <f t="shared" si="19"/>
        <v>0</v>
      </c>
      <c r="G151" s="5">
        <f t="shared" si="17"/>
        <v>0</v>
      </c>
      <c r="H151" s="2" t="str">
        <f t="shared" si="20"/>
        <v>합격</v>
      </c>
      <c r="I151" s="30" t="str">
        <f t="shared" si="21"/>
        <v>-</v>
      </c>
      <c r="J151" s="2">
        <f t="shared" si="18"/>
        <v>0</v>
      </c>
      <c r="K151" s="2"/>
    </row>
    <row r="152" spans="5:11" x14ac:dyDescent="0.45">
      <c r="E152" s="5"/>
      <c r="F152" s="18">
        <f t="shared" si="19"/>
        <v>0</v>
      </c>
      <c r="G152" s="5">
        <f t="shared" si="17"/>
        <v>0</v>
      </c>
      <c r="H152" s="2" t="str">
        <f t="shared" si="20"/>
        <v>합격</v>
      </c>
      <c r="I152" s="30" t="str">
        <f t="shared" si="21"/>
        <v>-</v>
      </c>
      <c r="J152" s="2">
        <f t="shared" si="18"/>
        <v>0</v>
      </c>
      <c r="K152" s="2"/>
    </row>
    <row r="153" spans="5:11" x14ac:dyDescent="0.45">
      <c r="E153" s="5"/>
      <c r="F153" s="18">
        <f t="shared" si="19"/>
        <v>0</v>
      </c>
      <c r="G153" s="5">
        <f t="shared" si="17"/>
        <v>0</v>
      </c>
      <c r="H153" s="2" t="str">
        <f t="shared" si="20"/>
        <v>합격</v>
      </c>
      <c r="I153" s="30" t="str">
        <f t="shared" si="21"/>
        <v>-</v>
      </c>
      <c r="J153" s="2">
        <f t="shared" si="18"/>
        <v>0</v>
      </c>
      <c r="K153" s="2"/>
    </row>
    <row r="154" spans="5:11" x14ac:dyDescent="0.45">
      <c r="E154" s="5"/>
      <c r="F154" s="18">
        <f t="shared" si="19"/>
        <v>0</v>
      </c>
      <c r="G154" s="5">
        <f t="shared" si="17"/>
        <v>0</v>
      </c>
      <c r="H154" s="2" t="str">
        <f t="shared" si="20"/>
        <v>합격</v>
      </c>
      <c r="I154" s="30" t="str">
        <f t="shared" si="21"/>
        <v>-</v>
      </c>
      <c r="J154" s="2">
        <f t="shared" si="18"/>
        <v>0</v>
      </c>
      <c r="K154" s="2"/>
    </row>
    <row r="155" spans="5:11" x14ac:dyDescent="0.45">
      <c r="E155" s="5"/>
      <c r="F155" s="18">
        <f t="shared" si="19"/>
        <v>0</v>
      </c>
      <c r="G155" s="5">
        <f t="shared" si="17"/>
        <v>0</v>
      </c>
      <c r="H155" s="2" t="str">
        <f t="shared" si="20"/>
        <v>합격</v>
      </c>
      <c r="I155" s="30" t="str">
        <f t="shared" si="21"/>
        <v>-</v>
      </c>
      <c r="J155" s="2">
        <f t="shared" si="18"/>
        <v>0</v>
      </c>
      <c r="K155" s="2"/>
    </row>
    <row r="156" spans="5:11" x14ac:dyDescent="0.45">
      <c r="E156" s="5"/>
      <c r="F156" s="18">
        <f t="shared" si="19"/>
        <v>0</v>
      </c>
      <c r="G156" s="5">
        <f t="shared" si="17"/>
        <v>0</v>
      </c>
      <c r="H156" s="2" t="str">
        <f t="shared" si="20"/>
        <v>합격</v>
      </c>
      <c r="I156" s="30" t="str">
        <f t="shared" si="21"/>
        <v>-</v>
      </c>
      <c r="J156" s="2">
        <f t="shared" si="18"/>
        <v>0</v>
      </c>
      <c r="K156" s="2"/>
    </row>
    <row r="157" spans="5:11" x14ac:dyDescent="0.45">
      <c r="E157" s="5"/>
      <c r="F157" s="18">
        <f t="shared" si="19"/>
        <v>0</v>
      </c>
      <c r="G157" s="5">
        <f t="shared" si="17"/>
        <v>0</v>
      </c>
      <c r="H157" s="2" t="str">
        <f t="shared" si="20"/>
        <v>합격</v>
      </c>
      <c r="I157" s="30" t="str">
        <f t="shared" si="21"/>
        <v>-</v>
      </c>
      <c r="J157" s="2">
        <f t="shared" si="18"/>
        <v>0</v>
      </c>
      <c r="K157" s="2"/>
    </row>
    <row r="158" spans="5:11" x14ac:dyDescent="0.45">
      <c r="E158" s="5"/>
      <c r="F158" s="18">
        <f t="shared" si="19"/>
        <v>0</v>
      </c>
      <c r="G158" s="5">
        <f t="shared" si="17"/>
        <v>0</v>
      </c>
      <c r="H158" s="2" t="str">
        <f t="shared" si="20"/>
        <v>합격</v>
      </c>
      <c r="I158" s="30" t="str">
        <f t="shared" si="21"/>
        <v>-</v>
      </c>
      <c r="J158" s="2">
        <f t="shared" si="18"/>
        <v>0</v>
      </c>
      <c r="K158" s="2"/>
    </row>
    <row r="159" spans="5:11" x14ac:dyDescent="0.45">
      <c r="E159" s="5"/>
      <c r="F159" s="18">
        <f t="shared" si="19"/>
        <v>0</v>
      </c>
      <c r="G159" s="5">
        <f t="shared" si="17"/>
        <v>0</v>
      </c>
      <c r="H159" s="2" t="str">
        <f t="shared" si="20"/>
        <v>합격</v>
      </c>
      <c r="I159" s="30" t="str">
        <f t="shared" si="21"/>
        <v>-</v>
      </c>
      <c r="J159" s="2">
        <f t="shared" si="18"/>
        <v>0</v>
      </c>
      <c r="K159" s="2"/>
    </row>
    <row r="160" spans="5:11" x14ac:dyDescent="0.45">
      <c r="E160" s="5"/>
      <c r="F160" s="18">
        <f t="shared" si="19"/>
        <v>0</v>
      </c>
      <c r="G160" s="5">
        <f t="shared" si="17"/>
        <v>0</v>
      </c>
      <c r="H160" s="2" t="str">
        <f t="shared" si="20"/>
        <v>합격</v>
      </c>
      <c r="I160" s="30" t="str">
        <f t="shared" si="21"/>
        <v>-</v>
      </c>
      <c r="J160" s="2">
        <f t="shared" si="18"/>
        <v>0</v>
      </c>
      <c r="K160" s="2"/>
    </row>
    <row r="161" spans="5:11" x14ac:dyDescent="0.45">
      <c r="E161" s="5"/>
      <c r="F161" s="18">
        <f t="shared" si="19"/>
        <v>0</v>
      </c>
      <c r="G161" s="5">
        <f t="shared" si="17"/>
        <v>0</v>
      </c>
      <c r="H161" s="2" t="str">
        <f t="shared" si="20"/>
        <v>합격</v>
      </c>
      <c r="I161" s="30" t="str">
        <f t="shared" si="21"/>
        <v>-</v>
      </c>
      <c r="J161" s="2">
        <f t="shared" si="18"/>
        <v>0</v>
      </c>
      <c r="K161" s="2"/>
    </row>
    <row r="162" spans="5:11" x14ac:dyDescent="0.45">
      <c r="E162" s="5"/>
      <c r="F162" s="18">
        <f t="shared" si="19"/>
        <v>0</v>
      </c>
      <c r="G162" s="5">
        <f t="shared" ref="G162:G193" si="22">IFERROR(POWER((B162/C162)*F162^3,1/3),0)</f>
        <v>0</v>
      </c>
      <c r="H162" s="2" t="str">
        <f t="shared" si="20"/>
        <v>합격</v>
      </c>
      <c r="I162" s="30" t="str">
        <f t="shared" si="21"/>
        <v>-</v>
      </c>
      <c r="J162" s="2">
        <f t="shared" ref="J162:J193" si="23">A162</f>
        <v>0</v>
      </c>
      <c r="K162" s="2"/>
    </row>
    <row r="163" spans="5:11" x14ac:dyDescent="0.45">
      <c r="E163" s="5"/>
      <c r="F163" s="18">
        <f t="shared" si="19"/>
        <v>0</v>
      </c>
      <c r="G163" s="5">
        <f t="shared" si="22"/>
        <v>0</v>
      </c>
      <c r="H163" s="2" t="str">
        <f t="shared" si="20"/>
        <v>합격</v>
      </c>
      <c r="I163" s="30" t="str">
        <f t="shared" si="21"/>
        <v>-</v>
      </c>
      <c r="J163" s="2">
        <f t="shared" si="23"/>
        <v>0</v>
      </c>
      <c r="K163" s="2"/>
    </row>
    <row r="164" spans="5:11" x14ac:dyDescent="0.45">
      <c r="E164" s="5"/>
      <c r="F164" s="18">
        <f t="shared" si="19"/>
        <v>0</v>
      </c>
      <c r="G164" s="5">
        <f t="shared" si="22"/>
        <v>0</v>
      </c>
      <c r="H164" s="2" t="str">
        <f t="shared" si="20"/>
        <v>합격</v>
      </c>
      <c r="I164" s="30" t="str">
        <f t="shared" si="21"/>
        <v>-</v>
      </c>
      <c r="J164" s="2">
        <f t="shared" si="23"/>
        <v>0</v>
      </c>
      <c r="K164" s="2"/>
    </row>
    <row r="165" spans="5:11" x14ac:dyDescent="0.45">
      <c r="E165" s="5"/>
      <c r="F165" s="18">
        <f t="shared" si="19"/>
        <v>0</v>
      </c>
      <c r="G165" s="5">
        <f t="shared" si="22"/>
        <v>0</v>
      </c>
      <c r="H165" s="2" t="str">
        <f t="shared" si="20"/>
        <v>합격</v>
      </c>
      <c r="I165" s="30" t="str">
        <f t="shared" si="21"/>
        <v>-</v>
      </c>
      <c r="J165" s="2">
        <f t="shared" si="23"/>
        <v>0</v>
      </c>
      <c r="K165" s="2"/>
    </row>
    <row r="166" spans="5:11" x14ac:dyDescent="0.45">
      <c r="E166" s="5"/>
      <c r="F166" s="18">
        <f t="shared" si="19"/>
        <v>0</v>
      </c>
      <c r="G166" s="5">
        <f t="shared" si="22"/>
        <v>0</v>
      </c>
      <c r="H166" s="2" t="str">
        <f t="shared" si="20"/>
        <v>합격</v>
      </c>
      <c r="I166" s="30" t="str">
        <f t="shared" si="21"/>
        <v>-</v>
      </c>
      <c r="J166" s="2">
        <f t="shared" si="23"/>
        <v>0</v>
      </c>
      <c r="K166" s="2"/>
    </row>
    <row r="167" spans="5:11" x14ac:dyDescent="0.45">
      <c r="E167" s="5"/>
      <c r="F167" s="18">
        <f t="shared" si="19"/>
        <v>0</v>
      </c>
      <c r="G167" s="5">
        <f t="shared" si="22"/>
        <v>0</v>
      </c>
      <c r="H167" s="2" t="str">
        <f t="shared" si="20"/>
        <v>합격</v>
      </c>
      <c r="I167" s="30" t="str">
        <f t="shared" si="21"/>
        <v>-</v>
      </c>
      <c r="J167" s="2">
        <f t="shared" si="23"/>
        <v>0</v>
      </c>
      <c r="K167" s="2"/>
    </row>
    <row r="168" spans="5:11" x14ac:dyDescent="0.45">
      <c r="E168" s="5"/>
      <c r="F168" s="18">
        <f t="shared" si="19"/>
        <v>0</v>
      </c>
      <c r="G168" s="5">
        <f t="shared" si="22"/>
        <v>0</v>
      </c>
      <c r="H168" s="2" t="str">
        <f t="shared" si="20"/>
        <v>합격</v>
      </c>
      <c r="I168" s="30" t="str">
        <f t="shared" si="21"/>
        <v>-</v>
      </c>
      <c r="J168" s="2">
        <f t="shared" si="23"/>
        <v>0</v>
      </c>
      <c r="K168" s="2"/>
    </row>
    <row r="169" spans="5:11" x14ac:dyDescent="0.45">
      <c r="E169" s="5"/>
      <c r="F169" s="18">
        <f t="shared" si="19"/>
        <v>0</v>
      </c>
      <c r="G169" s="5">
        <f t="shared" si="22"/>
        <v>0</v>
      </c>
      <c r="H169" s="2" t="str">
        <f t="shared" si="20"/>
        <v>합격</v>
      </c>
      <c r="I169" s="30" t="str">
        <f t="shared" si="21"/>
        <v>-</v>
      </c>
      <c r="J169" s="2">
        <f t="shared" si="23"/>
        <v>0</v>
      </c>
      <c r="K169" s="2"/>
    </row>
    <row r="170" spans="5:11" x14ac:dyDescent="0.45">
      <c r="E170" s="5"/>
      <c r="F170" s="18">
        <f t="shared" si="19"/>
        <v>0</v>
      </c>
      <c r="G170" s="5">
        <f t="shared" si="22"/>
        <v>0</v>
      </c>
      <c r="H170" s="2" t="str">
        <f t="shared" si="20"/>
        <v>합격</v>
      </c>
      <c r="I170" s="30" t="str">
        <f t="shared" si="21"/>
        <v>-</v>
      </c>
      <c r="J170" s="2">
        <f t="shared" si="23"/>
        <v>0</v>
      </c>
      <c r="K170" s="2"/>
    </row>
    <row r="171" spans="5:11" x14ac:dyDescent="0.45">
      <c r="E171" s="5"/>
      <c r="F171" s="18">
        <f t="shared" si="19"/>
        <v>0</v>
      </c>
      <c r="G171" s="5">
        <f t="shared" si="22"/>
        <v>0</v>
      </c>
      <c r="H171" s="2" t="str">
        <f t="shared" si="20"/>
        <v>합격</v>
      </c>
      <c r="I171" s="30" t="str">
        <f t="shared" si="21"/>
        <v>-</v>
      </c>
      <c r="J171" s="2">
        <f t="shared" si="23"/>
        <v>0</v>
      </c>
      <c r="K171" s="2"/>
    </row>
    <row r="172" spans="5:11" x14ac:dyDescent="0.45">
      <c r="E172" s="5"/>
      <c r="F172" s="18">
        <f t="shared" si="19"/>
        <v>0</v>
      </c>
      <c r="G172" s="5">
        <f t="shared" si="22"/>
        <v>0</v>
      </c>
      <c r="H172" s="2" t="str">
        <f t="shared" si="20"/>
        <v>합격</v>
      </c>
      <c r="I172" s="30" t="str">
        <f t="shared" si="21"/>
        <v>-</v>
      </c>
      <c r="J172" s="2">
        <f t="shared" si="23"/>
        <v>0</v>
      </c>
      <c r="K172" s="2"/>
    </row>
    <row r="173" spans="5:11" x14ac:dyDescent="0.45">
      <c r="E173" s="5"/>
      <c r="F173" s="18">
        <f t="shared" si="19"/>
        <v>0</v>
      </c>
      <c r="G173" s="5">
        <f t="shared" si="22"/>
        <v>0</v>
      </c>
      <c r="H173" s="2" t="str">
        <f t="shared" si="20"/>
        <v>합격</v>
      </c>
      <c r="I173" s="30" t="str">
        <f t="shared" si="21"/>
        <v>-</v>
      </c>
      <c r="J173" s="2">
        <f t="shared" si="23"/>
        <v>0</v>
      </c>
      <c r="K173" s="2"/>
    </row>
    <row r="174" spans="5:11" x14ac:dyDescent="0.45">
      <c r="E174" s="5"/>
      <c r="F174" s="18">
        <f t="shared" si="19"/>
        <v>0</v>
      </c>
      <c r="G174" s="5">
        <f t="shared" si="22"/>
        <v>0</v>
      </c>
      <c r="H174" s="2" t="str">
        <f t="shared" si="20"/>
        <v>합격</v>
      </c>
      <c r="I174" s="30" t="str">
        <f t="shared" si="21"/>
        <v>-</v>
      </c>
      <c r="J174" s="2">
        <f t="shared" si="23"/>
        <v>0</v>
      </c>
      <c r="K174" s="2"/>
    </row>
    <row r="175" spans="5:11" x14ac:dyDescent="0.45">
      <c r="E175" s="5"/>
      <c r="F175" s="18">
        <f t="shared" si="19"/>
        <v>0</v>
      </c>
      <c r="G175" s="5">
        <f t="shared" si="22"/>
        <v>0</v>
      </c>
      <c r="H175" s="2" t="str">
        <f t="shared" si="20"/>
        <v>합격</v>
      </c>
      <c r="I175" s="30" t="str">
        <f t="shared" si="21"/>
        <v>-</v>
      </c>
      <c r="J175" s="2">
        <f t="shared" si="23"/>
        <v>0</v>
      </c>
      <c r="K175" s="2"/>
    </row>
    <row r="176" spans="5:11" x14ac:dyDescent="0.45">
      <c r="E176" s="5"/>
      <c r="F176" s="18">
        <f t="shared" si="19"/>
        <v>0</v>
      </c>
      <c r="G176" s="5">
        <f t="shared" si="22"/>
        <v>0</v>
      </c>
      <c r="H176" s="2" t="str">
        <f t="shared" si="20"/>
        <v>합격</v>
      </c>
      <c r="I176" s="30" t="str">
        <f t="shared" si="21"/>
        <v>-</v>
      </c>
      <c r="J176" s="2">
        <f t="shared" si="23"/>
        <v>0</v>
      </c>
      <c r="K176" s="2"/>
    </row>
    <row r="177" spans="5:11" x14ac:dyDescent="0.45">
      <c r="E177" s="5"/>
      <c r="F177" s="18">
        <f t="shared" si="19"/>
        <v>0</v>
      </c>
      <c r="G177" s="5">
        <f t="shared" si="22"/>
        <v>0</v>
      </c>
      <c r="H177" s="2" t="str">
        <f t="shared" si="20"/>
        <v>합격</v>
      </c>
      <c r="I177" s="30" t="str">
        <f t="shared" si="21"/>
        <v>-</v>
      </c>
      <c r="J177" s="2">
        <f t="shared" si="23"/>
        <v>0</v>
      </c>
      <c r="K177" s="2"/>
    </row>
    <row r="178" spans="5:11" x14ac:dyDescent="0.45">
      <c r="E178" s="5"/>
      <c r="F178" s="18">
        <f t="shared" si="19"/>
        <v>0</v>
      </c>
      <c r="G178" s="5">
        <f t="shared" si="22"/>
        <v>0</v>
      </c>
      <c r="H178" s="2" t="str">
        <f t="shared" si="20"/>
        <v>합격</v>
      </c>
      <c r="I178" s="30" t="str">
        <f t="shared" si="21"/>
        <v>-</v>
      </c>
      <c r="J178" s="2">
        <f t="shared" si="23"/>
        <v>0</v>
      </c>
      <c r="K178" s="2"/>
    </row>
    <row r="179" spans="5:11" x14ac:dyDescent="0.45">
      <c r="E179" s="5"/>
      <c r="F179" s="18">
        <f t="shared" si="19"/>
        <v>0</v>
      </c>
      <c r="G179" s="5">
        <f t="shared" si="22"/>
        <v>0</v>
      </c>
      <c r="H179" s="2" t="str">
        <f t="shared" si="20"/>
        <v>합격</v>
      </c>
      <c r="I179" s="30" t="str">
        <f t="shared" si="21"/>
        <v>-</v>
      </c>
      <c r="J179" s="2">
        <f t="shared" si="23"/>
        <v>0</v>
      </c>
      <c r="K179" s="2"/>
    </row>
    <row r="180" spans="5:11" x14ac:dyDescent="0.45">
      <c r="E180" s="5"/>
      <c r="F180" s="18">
        <f t="shared" si="19"/>
        <v>0</v>
      </c>
      <c r="G180" s="5">
        <f t="shared" si="22"/>
        <v>0</v>
      </c>
      <c r="H180" s="2" t="str">
        <f t="shared" si="20"/>
        <v>합격</v>
      </c>
      <c r="I180" s="30" t="str">
        <f t="shared" si="21"/>
        <v>-</v>
      </c>
      <c r="J180" s="2">
        <f t="shared" si="23"/>
        <v>0</v>
      </c>
      <c r="K180" s="2"/>
    </row>
    <row r="181" spans="5:11" x14ac:dyDescent="0.45">
      <c r="E181" s="5"/>
      <c r="F181" s="18">
        <f t="shared" si="19"/>
        <v>0</v>
      </c>
      <c r="G181" s="5">
        <f t="shared" si="22"/>
        <v>0</v>
      </c>
      <c r="H181" s="2" t="str">
        <f t="shared" si="20"/>
        <v>합격</v>
      </c>
      <c r="I181" s="30" t="str">
        <f t="shared" si="21"/>
        <v>-</v>
      </c>
      <c r="J181" s="2">
        <f t="shared" si="23"/>
        <v>0</v>
      </c>
      <c r="K181" s="2"/>
    </row>
    <row r="182" spans="5:11" x14ac:dyDescent="0.45">
      <c r="E182" s="5"/>
      <c r="F182" s="18">
        <f t="shared" si="19"/>
        <v>0</v>
      </c>
      <c r="G182" s="5">
        <f t="shared" si="22"/>
        <v>0</v>
      </c>
      <c r="H182" s="2" t="str">
        <f t="shared" si="20"/>
        <v>합격</v>
      </c>
      <c r="I182" s="30" t="str">
        <f t="shared" si="21"/>
        <v>-</v>
      </c>
      <c r="J182" s="2">
        <f t="shared" si="23"/>
        <v>0</v>
      </c>
      <c r="K182" s="2"/>
    </row>
    <row r="183" spans="5:11" x14ac:dyDescent="0.45">
      <c r="E183" s="5"/>
      <c r="F183" s="18">
        <f t="shared" si="19"/>
        <v>0</v>
      </c>
      <c r="G183" s="5">
        <f t="shared" si="22"/>
        <v>0</v>
      </c>
      <c r="H183" s="2" t="str">
        <f t="shared" si="20"/>
        <v>합격</v>
      </c>
      <c r="I183" s="30" t="str">
        <f t="shared" si="21"/>
        <v>-</v>
      </c>
      <c r="J183" s="2">
        <f t="shared" si="23"/>
        <v>0</v>
      </c>
      <c r="K183" s="2"/>
    </row>
    <row r="184" spans="5:11" x14ac:dyDescent="0.45">
      <c r="E184" s="5"/>
      <c r="F184" s="18">
        <f t="shared" si="19"/>
        <v>0</v>
      </c>
      <c r="G184" s="5">
        <f t="shared" si="22"/>
        <v>0</v>
      </c>
      <c r="H184" s="2" t="str">
        <f t="shared" si="20"/>
        <v>합격</v>
      </c>
      <c r="I184" s="30" t="str">
        <f t="shared" si="21"/>
        <v>-</v>
      </c>
      <c r="J184" s="2">
        <f t="shared" si="23"/>
        <v>0</v>
      </c>
      <c r="K184" s="2"/>
    </row>
    <row r="185" spans="5:11" x14ac:dyDescent="0.45">
      <c r="E185" s="5"/>
      <c r="F185" s="18">
        <f t="shared" si="19"/>
        <v>0</v>
      </c>
      <c r="G185" s="5">
        <f t="shared" si="22"/>
        <v>0</v>
      </c>
      <c r="H185" s="2" t="str">
        <f t="shared" si="20"/>
        <v>합격</v>
      </c>
      <c r="I185" s="30" t="str">
        <f t="shared" si="21"/>
        <v>-</v>
      </c>
      <c r="J185" s="2">
        <f t="shared" si="23"/>
        <v>0</v>
      </c>
      <c r="K185" s="2"/>
    </row>
    <row r="186" spans="5:11" x14ac:dyDescent="0.45">
      <c r="E186" s="5"/>
      <c r="F186" s="18">
        <f t="shared" si="19"/>
        <v>0</v>
      </c>
      <c r="G186" s="5">
        <f t="shared" si="22"/>
        <v>0</v>
      </c>
      <c r="H186" s="2" t="str">
        <f t="shared" si="20"/>
        <v>합격</v>
      </c>
      <c r="I186" s="30" t="str">
        <f t="shared" si="21"/>
        <v>-</v>
      </c>
      <c r="J186" s="2">
        <f t="shared" si="23"/>
        <v>0</v>
      </c>
      <c r="K186" s="2"/>
    </row>
    <row r="187" spans="5:11" x14ac:dyDescent="0.45">
      <c r="E187" s="5"/>
      <c r="F187" s="18">
        <f t="shared" si="19"/>
        <v>0</v>
      </c>
      <c r="G187" s="5">
        <f t="shared" si="22"/>
        <v>0</v>
      </c>
      <c r="H187" s="2" t="str">
        <f t="shared" si="20"/>
        <v>합격</v>
      </c>
      <c r="I187" s="30" t="str">
        <f t="shared" si="21"/>
        <v>-</v>
      </c>
      <c r="J187" s="2">
        <f t="shared" si="23"/>
        <v>0</v>
      </c>
      <c r="K187" s="2"/>
    </row>
    <row r="188" spans="5:11" x14ac:dyDescent="0.45">
      <c r="E188" s="5"/>
      <c r="F188" s="18">
        <f t="shared" si="19"/>
        <v>0</v>
      </c>
      <c r="G188" s="5">
        <f t="shared" si="22"/>
        <v>0</v>
      </c>
      <c r="H188" s="2" t="str">
        <f t="shared" si="20"/>
        <v>합격</v>
      </c>
      <c r="I188" s="30" t="str">
        <f t="shared" si="21"/>
        <v>-</v>
      </c>
      <c r="J188" s="2">
        <f t="shared" si="23"/>
        <v>0</v>
      </c>
      <c r="K188" s="2"/>
    </row>
    <row r="189" spans="5:11" x14ac:dyDescent="0.45">
      <c r="E189" s="5"/>
      <c r="F189" s="18">
        <f t="shared" si="19"/>
        <v>0</v>
      </c>
      <c r="G189" s="5">
        <f t="shared" si="22"/>
        <v>0</v>
      </c>
      <c r="H189" s="2" t="str">
        <f t="shared" si="20"/>
        <v>합격</v>
      </c>
      <c r="I189" s="30" t="str">
        <f t="shared" si="21"/>
        <v>-</v>
      </c>
      <c r="J189" s="2">
        <f t="shared" si="23"/>
        <v>0</v>
      </c>
      <c r="K189" s="2"/>
    </row>
    <row r="190" spans="5:11" x14ac:dyDescent="0.45">
      <c r="E190" s="5"/>
      <c r="F190" s="18">
        <f t="shared" si="19"/>
        <v>0</v>
      </c>
      <c r="G190" s="5">
        <f t="shared" si="22"/>
        <v>0</v>
      </c>
      <c r="H190" s="2" t="str">
        <f t="shared" si="20"/>
        <v>합격</v>
      </c>
      <c r="I190" s="30" t="str">
        <f t="shared" si="21"/>
        <v>-</v>
      </c>
      <c r="J190" s="2">
        <f t="shared" si="23"/>
        <v>0</v>
      </c>
      <c r="K190" s="2"/>
    </row>
    <row r="191" spans="5:11" x14ac:dyDescent="0.45">
      <c r="E191" s="5"/>
      <c r="F191" s="18">
        <f t="shared" si="19"/>
        <v>0</v>
      </c>
      <c r="G191" s="5">
        <f t="shared" si="22"/>
        <v>0</v>
      </c>
      <c r="H191" s="2" t="str">
        <f t="shared" si="20"/>
        <v>합격</v>
      </c>
      <c r="I191" s="30" t="str">
        <f t="shared" si="21"/>
        <v>-</v>
      </c>
      <c r="J191" s="2">
        <f t="shared" si="23"/>
        <v>0</v>
      </c>
      <c r="K191" s="2"/>
    </row>
    <row r="192" spans="5:11" x14ac:dyDescent="0.45">
      <c r="E192" s="5"/>
      <c r="F192" s="18">
        <f t="shared" si="19"/>
        <v>0</v>
      </c>
      <c r="G192" s="5">
        <f t="shared" si="22"/>
        <v>0</v>
      </c>
      <c r="H192" s="2" t="str">
        <f t="shared" si="20"/>
        <v>합격</v>
      </c>
      <c r="I192" s="30" t="str">
        <f t="shared" si="21"/>
        <v>-</v>
      </c>
      <c r="J192" s="2">
        <f t="shared" si="23"/>
        <v>0</v>
      </c>
      <c r="K192" s="2"/>
    </row>
    <row r="193" spans="5:11" x14ac:dyDescent="0.45">
      <c r="E193" s="5"/>
      <c r="F193" s="18">
        <f t="shared" si="19"/>
        <v>0</v>
      </c>
      <c r="G193" s="5">
        <f t="shared" si="22"/>
        <v>0</v>
      </c>
      <c r="H193" s="2" t="str">
        <f t="shared" si="20"/>
        <v>합격</v>
      </c>
      <c r="I193" s="30" t="str">
        <f t="shared" si="21"/>
        <v>-</v>
      </c>
      <c r="J193" s="2">
        <f t="shared" si="23"/>
        <v>0</v>
      </c>
      <c r="K193" s="2"/>
    </row>
    <row r="194" spans="5:11" x14ac:dyDescent="0.45">
      <c r="E194" s="5"/>
      <c r="F194" s="18">
        <f t="shared" si="19"/>
        <v>0</v>
      </c>
      <c r="G194" s="5">
        <f t="shared" ref="G194:G225" si="24">IFERROR(POWER((B194/C194)*F194^3,1/3),0)</f>
        <v>0</v>
      </c>
      <c r="H194" s="2" t="str">
        <f t="shared" si="20"/>
        <v>합격</v>
      </c>
      <c r="I194" s="30" t="str">
        <f t="shared" si="21"/>
        <v>-</v>
      </c>
      <c r="J194" s="2">
        <f t="shared" ref="J194:J213" si="25">A194</f>
        <v>0</v>
      </c>
      <c r="K194" s="2"/>
    </row>
    <row r="195" spans="5:11" x14ac:dyDescent="0.45">
      <c r="E195" s="5"/>
      <c r="F195" s="18">
        <f t="shared" si="19"/>
        <v>0</v>
      </c>
      <c r="G195" s="5">
        <f t="shared" si="24"/>
        <v>0</v>
      </c>
      <c r="H195" s="2" t="str">
        <f t="shared" si="20"/>
        <v>합격</v>
      </c>
      <c r="I195" s="30" t="str">
        <f t="shared" si="21"/>
        <v>-</v>
      </c>
      <c r="J195" s="2">
        <f t="shared" si="25"/>
        <v>0</v>
      </c>
      <c r="K195" s="2"/>
    </row>
    <row r="196" spans="5:11" x14ac:dyDescent="0.45">
      <c r="E196" s="5"/>
      <c r="F196" s="18">
        <f t="shared" si="19"/>
        <v>0</v>
      </c>
      <c r="G196" s="5">
        <f t="shared" si="24"/>
        <v>0</v>
      </c>
      <c r="H196" s="2" t="str">
        <f t="shared" si="20"/>
        <v>합격</v>
      </c>
      <c r="I196" s="30" t="str">
        <f t="shared" si="21"/>
        <v>-</v>
      </c>
      <c r="J196" s="2">
        <f t="shared" si="25"/>
        <v>0</v>
      </c>
      <c r="K196" s="2"/>
    </row>
    <row r="197" spans="5:11" x14ac:dyDescent="0.45">
      <c r="E197" s="5"/>
      <c r="F197" s="18">
        <f t="shared" si="19"/>
        <v>0</v>
      </c>
      <c r="G197" s="5">
        <f t="shared" si="24"/>
        <v>0</v>
      </c>
      <c r="H197" s="2" t="str">
        <f t="shared" si="20"/>
        <v>합격</v>
      </c>
      <c r="I197" s="30" t="str">
        <f t="shared" si="21"/>
        <v>-</v>
      </c>
      <c r="J197" s="2">
        <f t="shared" si="25"/>
        <v>0</v>
      </c>
      <c r="K197" s="2"/>
    </row>
    <row r="198" spans="5:11" x14ac:dyDescent="0.45">
      <c r="E198" s="5"/>
      <c r="F198" s="18">
        <f t="shared" si="19"/>
        <v>0</v>
      </c>
      <c r="G198" s="5">
        <f t="shared" si="24"/>
        <v>0</v>
      </c>
      <c r="H198" s="2" t="str">
        <f t="shared" si="20"/>
        <v>합격</v>
      </c>
      <c r="I198" s="30" t="str">
        <f t="shared" si="21"/>
        <v>-</v>
      </c>
      <c r="J198" s="2">
        <f t="shared" si="25"/>
        <v>0</v>
      </c>
      <c r="K198" s="2"/>
    </row>
    <row r="199" spans="5:11" x14ac:dyDescent="0.45">
      <c r="E199" s="5"/>
      <c r="F199" s="18">
        <f t="shared" si="19"/>
        <v>0</v>
      </c>
      <c r="G199" s="5">
        <f t="shared" si="24"/>
        <v>0</v>
      </c>
      <c r="H199" s="2" t="str">
        <f t="shared" si="20"/>
        <v>합격</v>
      </c>
      <c r="I199" s="30" t="str">
        <f t="shared" si="21"/>
        <v>-</v>
      </c>
      <c r="J199" s="2">
        <f t="shared" si="25"/>
        <v>0</v>
      </c>
      <c r="K199" s="2"/>
    </row>
    <row r="200" spans="5:11" x14ac:dyDescent="0.45">
      <c r="E200" s="5"/>
      <c r="F200" s="18">
        <f t="shared" si="19"/>
        <v>0</v>
      </c>
      <c r="G200" s="5">
        <f t="shared" si="24"/>
        <v>0</v>
      </c>
      <c r="H200" s="2" t="str">
        <f t="shared" si="20"/>
        <v>합격</v>
      </c>
      <c r="I200" s="30" t="str">
        <f t="shared" si="21"/>
        <v>-</v>
      </c>
      <c r="J200" s="2">
        <f t="shared" si="25"/>
        <v>0</v>
      </c>
      <c r="K200" s="2"/>
    </row>
    <row r="201" spans="5:11" x14ac:dyDescent="0.45">
      <c r="E201" s="5"/>
      <c r="F201" s="18">
        <f t="shared" si="19"/>
        <v>0</v>
      </c>
      <c r="G201" s="5">
        <f t="shared" si="24"/>
        <v>0</v>
      </c>
      <c r="H201" s="2" t="str">
        <f t="shared" si="20"/>
        <v>합격</v>
      </c>
      <c r="I201" s="30" t="str">
        <f t="shared" si="21"/>
        <v>-</v>
      </c>
      <c r="J201" s="2">
        <f t="shared" si="25"/>
        <v>0</v>
      </c>
      <c r="K201" s="2"/>
    </row>
    <row r="202" spans="5:11" x14ac:dyDescent="0.45">
      <c r="E202" s="5"/>
      <c r="F202" s="18">
        <f t="shared" ref="F202:F213" si="26">IFERROR(D202/60,"-")</f>
        <v>0</v>
      </c>
      <c r="G202" s="5">
        <f t="shared" si="24"/>
        <v>0</v>
      </c>
      <c r="H202" s="2" t="str">
        <f t="shared" si="20"/>
        <v>합격</v>
      </c>
      <c r="I202" s="30" t="str">
        <f t="shared" si="21"/>
        <v>-</v>
      </c>
      <c r="J202" s="2">
        <f t="shared" si="25"/>
        <v>0</v>
      </c>
      <c r="K202" s="2"/>
    </row>
    <row r="203" spans="5:11" x14ac:dyDescent="0.45">
      <c r="E203" s="5"/>
      <c r="F203" s="18">
        <f t="shared" si="26"/>
        <v>0</v>
      </c>
      <c r="G203" s="5">
        <f t="shared" si="24"/>
        <v>0</v>
      </c>
      <c r="H203" s="2" t="str">
        <f t="shared" ref="H203:H213" si="27">IF(OR(E203&lt;F203*0.8,E203&gt;F203*1.2),"불합격","합격")</f>
        <v>합격</v>
      </c>
      <c r="I203" s="30" t="str">
        <f t="shared" ref="I203:I213" si="28">IFERROR(E203/F203,"-")</f>
        <v>-</v>
      </c>
      <c r="J203" s="2">
        <f t="shared" si="25"/>
        <v>0</v>
      </c>
      <c r="K203" s="2"/>
    </row>
    <row r="204" spans="5:11" x14ac:dyDescent="0.45">
      <c r="E204" s="5"/>
      <c r="F204" s="18">
        <f t="shared" si="26"/>
        <v>0</v>
      </c>
      <c r="G204" s="5">
        <f t="shared" si="24"/>
        <v>0</v>
      </c>
      <c r="H204" s="2" t="str">
        <f t="shared" si="27"/>
        <v>합격</v>
      </c>
      <c r="I204" s="30" t="str">
        <f t="shared" si="28"/>
        <v>-</v>
      </c>
      <c r="J204" s="2">
        <f t="shared" si="25"/>
        <v>0</v>
      </c>
      <c r="K204" s="2"/>
    </row>
    <row r="205" spans="5:11" x14ac:dyDescent="0.45">
      <c r="E205" s="5"/>
      <c r="F205" s="18">
        <f t="shared" si="26"/>
        <v>0</v>
      </c>
      <c r="G205" s="5">
        <f t="shared" si="24"/>
        <v>0</v>
      </c>
      <c r="H205" s="2" t="str">
        <f t="shared" si="27"/>
        <v>합격</v>
      </c>
      <c r="I205" s="30" t="str">
        <f t="shared" si="28"/>
        <v>-</v>
      </c>
      <c r="J205" s="2">
        <f t="shared" si="25"/>
        <v>0</v>
      </c>
      <c r="K205" s="2"/>
    </row>
    <row r="206" spans="5:11" x14ac:dyDescent="0.45">
      <c r="E206" s="5"/>
      <c r="F206" s="18">
        <f t="shared" si="26"/>
        <v>0</v>
      </c>
      <c r="G206" s="5">
        <f t="shared" si="24"/>
        <v>0</v>
      </c>
      <c r="H206" s="2" t="str">
        <f t="shared" si="27"/>
        <v>합격</v>
      </c>
      <c r="I206" s="30" t="str">
        <f t="shared" si="28"/>
        <v>-</v>
      </c>
      <c r="J206" s="2">
        <f t="shared" si="25"/>
        <v>0</v>
      </c>
      <c r="K206" s="2"/>
    </row>
    <row r="207" spans="5:11" x14ac:dyDescent="0.45">
      <c r="E207" s="5"/>
      <c r="F207" s="18">
        <f t="shared" si="26"/>
        <v>0</v>
      </c>
      <c r="G207" s="5">
        <f t="shared" si="24"/>
        <v>0</v>
      </c>
      <c r="H207" s="2" t="str">
        <f t="shared" si="27"/>
        <v>합격</v>
      </c>
      <c r="I207" s="30" t="str">
        <f t="shared" si="28"/>
        <v>-</v>
      </c>
      <c r="J207" s="2">
        <f t="shared" si="25"/>
        <v>0</v>
      </c>
      <c r="K207" s="2"/>
    </row>
    <row r="208" spans="5:11" x14ac:dyDescent="0.45">
      <c r="E208" s="5"/>
      <c r="F208" s="18">
        <f t="shared" si="26"/>
        <v>0</v>
      </c>
      <c r="G208" s="5">
        <f t="shared" si="24"/>
        <v>0</v>
      </c>
      <c r="H208" s="2" t="str">
        <f t="shared" si="27"/>
        <v>합격</v>
      </c>
      <c r="I208" s="30" t="str">
        <f t="shared" si="28"/>
        <v>-</v>
      </c>
      <c r="J208" s="2">
        <f t="shared" si="25"/>
        <v>0</v>
      </c>
      <c r="K208" s="2"/>
    </row>
    <row r="209" spans="5:11" x14ac:dyDescent="0.45">
      <c r="E209" s="5"/>
      <c r="F209" s="18">
        <f t="shared" si="26"/>
        <v>0</v>
      </c>
      <c r="G209" s="5">
        <f t="shared" si="24"/>
        <v>0</v>
      </c>
      <c r="H209" s="2" t="str">
        <f t="shared" si="27"/>
        <v>합격</v>
      </c>
      <c r="I209" s="30" t="str">
        <f t="shared" si="28"/>
        <v>-</v>
      </c>
      <c r="J209" s="2">
        <f t="shared" si="25"/>
        <v>0</v>
      </c>
      <c r="K209" s="2"/>
    </row>
    <row r="210" spans="5:11" x14ac:dyDescent="0.45">
      <c r="E210" s="5"/>
      <c r="F210" s="18">
        <f t="shared" si="26"/>
        <v>0</v>
      </c>
      <c r="G210" s="5">
        <f t="shared" si="24"/>
        <v>0</v>
      </c>
      <c r="H210" s="2" t="str">
        <f t="shared" si="27"/>
        <v>합격</v>
      </c>
      <c r="I210" s="30" t="str">
        <f t="shared" si="28"/>
        <v>-</v>
      </c>
      <c r="J210" s="2">
        <f t="shared" si="25"/>
        <v>0</v>
      </c>
      <c r="K210" s="2"/>
    </row>
    <row r="211" spans="5:11" x14ac:dyDescent="0.45">
      <c r="E211" s="5"/>
      <c r="F211" s="18">
        <f t="shared" si="26"/>
        <v>0</v>
      </c>
      <c r="G211" s="5">
        <f t="shared" si="24"/>
        <v>0</v>
      </c>
      <c r="H211" s="2" t="str">
        <f t="shared" si="27"/>
        <v>합격</v>
      </c>
      <c r="I211" s="30" t="str">
        <f t="shared" si="28"/>
        <v>-</v>
      </c>
      <c r="J211" s="2">
        <f t="shared" si="25"/>
        <v>0</v>
      </c>
      <c r="K211" s="2"/>
    </row>
    <row r="212" spans="5:11" x14ac:dyDescent="0.45">
      <c r="E212" s="5"/>
      <c r="F212" s="18">
        <f t="shared" si="26"/>
        <v>0</v>
      </c>
      <c r="G212" s="5">
        <f t="shared" si="24"/>
        <v>0</v>
      </c>
      <c r="H212" s="2" t="str">
        <f t="shared" si="27"/>
        <v>합격</v>
      </c>
      <c r="I212" s="30" t="str">
        <f t="shared" si="28"/>
        <v>-</v>
      </c>
      <c r="J212" s="2">
        <f t="shared" si="25"/>
        <v>0</v>
      </c>
      <c r="K212" s="2"/>
    </row>
    <row r="213" spans="5:11" x14ac:dyDescent="0.45">
      <c r="E213" s="5"/>
      <c r="F213" s="18">
        <f t="shared" si="26"/>
        <v>0</v>
      </c>
      <c r="G213" s="5">
        <f t="shared" si="24"/>
        <v>0</v>
      </c>
      <c r="H213" s="2" t="str">
        <f t="shared" si="27"/>
        <v>합격</v>
      </c>
      <c r="I213" s="30" t="str">
        <f t="shared" si="28"/>
        <v>-</v>
      </c>
      <c r="J213" s="2">
        <f t="shared" si="25"/>
        <v>0</v>
      </c>
      <c r="K213" s="2"/>
    </row>
    <row r="214" spans="5:11" x14ac:dyDescent="0.45">
      <c r="G214" s="5"/>
    </row>
    <row r="215" spans="5:11" x14ac:dyDescent="0.45">
      <c r="G215" s="5"/>
    </row>
  </sheetData>
  <mergeCells count="19">
    <mergeCell ref="K3:K4"/>
    <mergeCell ref="I3:I4"/>
    <mergeCell ref="A44:J44"/>
    <mergeCell ref="A38:J38"/>
    <mergeCell ref="A27:J27"/>
    <mergeCell ref="J3:J4"/>
    <mergeCell ref="A18:J18"/>
    <mergeCell ref="A13:J13"/>
    <mergeCell ref="G3:G4"/>
    <mergeCell ref="H3:H4"/>
    <mergeCell ref="A3:A4"/>
    <mergeCell ref="B3:B4"/>
    <mergeCell ref="D3:D4"/>
    <mergeCell ref="A65:J65"/>
    <mergeCell ref="A62:J62"/>
    <mergeCell ref="F3:F4"/>
    <mergeCell ref="A51:J51"/>
    <mergeCell ref="C3:C4"/>
    <mergeCell ref="E3:E4"/>
  </mergeCells>
  <phoneticPr fontId="1" type="noConversion"/>
  <conditionalFormatting sqref="H5">
    <cfRule type="containsText" dxfId="21" priority="3" operator="containsText" text="불합격">
      <formula>NOT(ISERROR(SEARCH("불합격",H5)))</formula>
    </cfRule>
    <cfRule type="containsText" dxfId="20" priority="4" operator="containsText" text="합격">
      <formula>NOT(ISERROR(SEARCH("합격",H5)))</formula>
    </cfRule>
  </conditionalFormatting>
  <conditionalFormatting sqref="H7:H12 H14:H17 H19:H26 H28:H37 H39:H43 H45:H50 H52:H61 H63:H64">
    <cfRule type="containsText" dxfId="19" priority="5" operator="containsText" text="불합격">
      <formula>NOT(ISERROR(SEARCH("불합격",H7)))</formula>
    </cfRule>
    <cfRule type="containsText" dxfId="18" priority="6" operator="containsText" text="합격">
      <formula>NOT(ISERROR(SEARCH("합격",H7)))</formula>
    </cfRule>
  </conditionalFormatting>
  <conditionalFormatting sqref="H66:H1048576">
    <cfRule type="containsText" dxfId="17" priority="1" operator="containsText" text="불합격">
      <formula>NOT(ISERROR(SEARCH("불합격",H66)))</formula>
    </cfRule>
    <cfRule type="containsText" dxfId="16" priority="2" operator="containsText" text="합격">
      <formula>NOT(ISERROR(SEARCH("합격",H66)))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1747-BAD3-48DD-B948-734192062337}">
  <dimension ref="A1:P212"/>
  <sheetViews>
    <sheetView tabSelected="1" workbookViewId="0">
      <pane ySplit="5" topLeftCell="A6" activePane="bottomLeft" state="frozen"/>
      <selection pane="bottomLeft" activeCell="H5" sqref="H5"/>
    </sheetView>
  </sheetViews>
  <sheetFormatPr defaultRowHeight="17" x14ac:dyDescent="0.45"/>
  <cols>
    <col min="1" max="1" width="16.75" style="1" customWidth="1"/>
    <col min="2" max="2" width="20.75" style="2" hidden="1" customWidth="1"/>
    <col min="3" max="3" width="20.75" style="2" customWidth="1"/>
    <col min="4" max="5" width="20.75" style="2" hidden="1" customWidth="1"/>
    <col min="6" max="6" width="21.75" style="2" customWidth="1"/>
    <col min="7" max="7" width="24.58203125" style="1" customWidth="1"/>
    <col min="8" max="8" width="21.75" style="2" customWidth="1"/>
    <col min="9" max="10" width="16.83203125" style="42" bestFit="1" customWidth="1"/>
    <col min="11" max="12" width="12.08203125" style="42" bestFit="1" customWidth="1"/>
    <col min="13" max="13" width="21.33203125" style="43" bestFit="1" customWidth="1"/>
    <col min="14" max="14" width="13.75" style="1" bestFit="1" customWidth="1"/>
    <col min="15" max="15" width="30.75" style="1" bestFit="1" customWidth="1"/>
    <col min="16" max="16" width="59.83203125" style="1" customWidth="1"/>
  </cols>
  <sheetData>
    <row r="1" spans="1:16" x14ac:dyDescent="0.45">
      <c r="A1" s="3"/>
      <c r="B1" s="17" t="s">
        <v>19</v>
      </c>
      <c r="C1" s="1"/>
      <c r="D1" s="1"/>
      <c r="E1" s="1"/>
      <c r="F1" s="1"/>
      <c r="H1" s="1"/>
      <c r="I1" s="1"/>
      <c r="J1" s="1"/>
      <c r="K1" s="1"/>
      <c r="L1" s="1"/>
      <c r="M1" s="1"/>
    </row>
    <row r="2" spans="1:16" x14ac:dyDescent="0.45">
      <c r="B2" s="1"/>
      <c r="C2" s="1"/>
      <c r="D2" s="1"/>
      <c r="E2" s="10" t="s">
        <v>21</v>
      </c>
      <c r="F2" s="1"/>
      <c r="H2" s="10" t="s">
        <v>236</v>
      </c>
      <c r="I2" s="1"/>
      <c r="J2" s="1"/>
      <c r="K2" s="1"/>
      <c r="L2" s="1"/>
      <c r="M2" s="1"/>
      <c r="N2" s="10" t="s">
        <v>28</v>
      </c>
    </row>
    <row r="3" spans="1:16" x14ac:dyDescent="0.45">
      <c r="A3" s="95"/>
      <c r="B3" s="65" t="s">
        <v>16</v>
      </c>
      <c r="C3" s="88" t="s">
        <v>13</v>
      </c>
      <c r="D3" s="65" t="s">
        <v>17</v>
      </c>
      <c r="E3" s="88" t="s">
        <v>14</v>
      </c>
      <c r="F3" s="88" t="s">
        <v>18</v>
      </c>
      <c r="G3" s="54" t="s">
        <v>230</v>
      </c>
      <c r="H3" s="88" t="s">
        <v>224</v>
      </c>
      <c r="I3" s="65" t="s">
        <v>229</v>
      </c>
      <c r="J3" s="65" t="s">
        <v>228</v>
      </c>
      <c r="K3" s="88" t="s">
        <v>227</v>
      </c>
      <c r="L3" s="88" t="s">
        <v>226</v>
      </c>
      <c r="M3" s="88" t="s">
        <v>231</v>
      </c>
      <c r="N3" s="88" t="s">
        <v>225</v>
      </c>
      <c r="O3" s="54" t="s">
        <v>121</v>
      </c>
      <c r="P3" s="54" t="s">
        <v>59</v>
      </c>
    </row>
    <row r="4" spans="1:16" x14ac:dyDescent="0.45">
      <c r="A4" s="95"/>
      <c r="B4" s="67"/>
      <c r="C4" s="67"/>
      <c r="D4" s="67"/>
      <c r="E4" s="67"/>
      <c r="F4" s="67"/>
      <c r="G4" s="54"/>
      <c r="H4" s="67"/>
      <c r="I4" s="67"/>
      <c r="J4" s="67"/>
      <c r="K4" s="67"/>
      <c r="L4" s="67"/>
      <c r="M4" s="67"/>
      <c r="N4" s="67"/>
      <c r="O4" s="54"/>
      <c r="P4" s="54"/>
    </row>
    <row r="5" spans="1:16" x14ac:dyDescent="0.45">
      <c r="A5" s="6" t="s">
        <v>2</v>
      </c>
      <c r="B5" s="4">
        <v>7</v>
      </c>
      <c r="C5" s="4">
        <v>1000</v>
      </c>
      <c r="D5" s="4">
        <v>10</v>
      </c>
      <c r="E5" s="4">
        <v>18000</v>
      </c>
      <c r="F5" s="16">
        <f>E5*60*0.001</f>
        <v>1080</v>
      </c>
      <c r="G5" s="30">
        <f>IFERROR(C5/F5,"-")</f>
        <v>0.92592592592592593</v>
      </c>
      <c r="H5" s="2" t="str">
        <f>IF(OR(C5&lt;F5*0.8,C5&gt;F5*1.2),"불합격","합격")</f>
        <v>합격</v>
      </c>
      <c r="I5" s="34">
        <v>3</v>
      </c>
      <c r="J5" s="34">
        <v>5</v>
      </c>
      <c r="K5" s="34">
        <f>(J5-I5)*10</f>
        <v>20</v>
      </c>
      <c r="L5" s="34">
        <v>20</v>
      </c>
      <c r="M5" s="30">
        <f>K5/L5</f>
        <v>1</v>
      </c>
      <c r="N5" s="30" t="str">
        <f>IF(OR(K5&lt;L5*0.8,K5&gt;L5*1.2),"불합격","합격")</f>
        <v>합격</v>
      </c>
      <c r="O5" s="2" t="str">
        <f>A5</f>
        <v>예시1</v>
      </c>
      <c r="P5" s="2"/>
    </row>
    <row r="6" spans="1:16" x14ac:dyDescent="0.45">
      <c r="A6" s="7" t="s">
        <v>1</v>
      </c>
      <c r="B6" s="2">
        <v>3.95</v>
      </c>
      <c r="C6" s="5">
        <v>51.77</v>
      </c>
      <c r="D6" s="2">
        <v>3.7</v>
      </c>
      <c r="E6" s="2">
        <v>600</v>
      </c>
      <c r="F6" s="5">
        <f t="shared" ref="F6:F70" si="0">E6*60*0.001</f>
        <v>36</v>
      </c>
      <c r="G6" s="30">
        <f>IFERROR(C6/F6,"-")</f>
        <v>1.4380555555555556</v>
      </c>
      <c r="H6" s="2" t="str">
        <f>IF(OR(C6&lt;F6*0.8,C6&gt;F6*1.2),"불합격","합격")</f>
        <v>불합격</v>
      </c>
      <c r="I6" s="34">
        <v>1</v>
      </c>
      <c r="J6" s="34">
        <v>3</v>
      </c>
      <c r="K6" s="34">
        <f>(J6-I6)*10</f>
        <v>20</v>
      </c>
      <c r="L6" s="34">
        <v>50</v>
      </c>
      <c r="M6" s="30">
        <f>K6/L6</f>
        <v>0.4</v>
      </c>
      <c r="N6" s="30" t="str">
        <f>IF(OR(K6&lt;L6*0.8,K6&gt;L6*1.2),"불합격","합격")</f>
        <v>불합격</v>
      </c>
      <c r="O6" s="2" t="str">
        <f>A6</f>
        <v>예시2</v>
      </c>
      <c r="P6" s="51" t="s">
        <v>237</v>
      </c>
    </row>
    <row r="7" spans="1:16" hidden="1" x14ac:dyDescent="0.45">
      <c r="B7" s="2">
        <v>3.4390000000000001</v>
      </c>
      <c r="C7" s="5">
        <v>36.515999999999998</v>
      </c>
      <c r="D7" s="2">
        <v>5.5</v>
      </c>
      <c r="E7" s="2" t="s">
        <v>23</v>
      </c>
      <c r="F7" s="5">
        <v>30</v>
      </c>
      <c r="G7" s="30">
        <f t="shared" ref="G7:G10" si="1">IFERROR(A7/D7,"-")</f>
        <v>0</v>
      </c>
      <c r="H7" s="2" t="str">
        <f t="shared" ref="H7:H10" si="2">IF(OR(C7&lt;F7*0.9,C7&gt;F7*1.1),"불합격","합격")</f>
        <v>불합격</v>
      </c>
      <c r="I7" s="30"/>
      <c r="J7" s="30"/>
      <c r="K7" s="30"/>
      <c r="L7" s="30"/>
      <c r="M7" s="30"/>
      <c r="N7" s="30"/>
      <c r="O7" s="2">
        <f>A7</f>
        <v>0</v>
      </c>
      <c r="P7" s="2"/>
    </row>
    <row r="8" spans="1:16" hidden="1" x14ac:dyDescent="0.45">
      <c r="B8" s="2">
        <v>3.7</v>
      </c>
      <c r="C8" s="5">
        <v>80</v>
      </c>
      <c r="D8" s="2">
        <v>5</v>
      </c>
      <c r="E8" s="2" t="s">
        <v>23</v>
      </c>
      <c r="F8" s="5">
        <v>100</v>
      </c>
      <c r="G8" s="30">
        <f t="shared" si="1"/>
        <v>0</v>
      </c>
      <c r="H8" s="2" t="str">
        <f t="shared" si="2"/>
        <v>불합격</v>
      </c>
      <c r="I8" s="30"/>
      <c r="J8" s="30"/>
      <c r="K8" s="30"/>
      <c r="L8" s="30"/>
      <c r="M8" s="30"/>
      <c r="N8" s="30"/>
      <c r="O8" s="2">
        <f>A8</f>
        <v>0</v>
      </c>
      <c r="P8" s="2"/>
    </row>
    <row r="9" spans="1:16" hidden="1" x14ac:dyDescent="0.45">
      <c r="B9" s="2">
        <v>4.91</v>
      </c>
      <c r="C9" s="5">
        <v>50.8</v>
      </c>
      <c r="D9" s="2">
        <v>15</v>
      </c>
      <c r="E9" s="2" t="s">
        <v>23</v>
      </c>
      <c r="F9" s="5">
        <f>1.16*60</f>
        <v>69.599999999999994</v>
      </c>
      <c r="G9" s="30">
        <f t="shared" si="1"/>
        <v>0</v>
      </c>
      <c r="H9" s="2" t="str">
        <f t="shared" si="2"/>
        <v>불합격</v>
      </c>
      <c r="I9" s="30"/>
      <c r="J9" s="30"/>
      <c r="K9" s="30"/>
      <c r="L9" s="30"/>
      <c r="M9" s="30"/>
      <c r="N9" s="30"/>
      <c r="O9" s="2">
        <f>A9</f>
        <v>0</v>
      </c>
      <c r="P9" s="2"/>
    </row>
    <row r="10" spans="1:16" hidden="1" x14ac:dyDescent="0.45">
      <c r="B10" s="2">
        <v>5.79</v>
      </c>
      <c r="C10" s="5">
        <v>29.1</v>
      </c>
      <c r="D10" s="2">
        <v>15</v>
      </c>
      <c r="E10" s="2" t="s">
        <v>23</v>
      </c>
      <c r="F10" s="5">
        <f>1.16*60</f>
        <v>69.599999999999994</v>
      </c>
      <c r="G10" s="30">
        <f t="shared" si="1"/>
        <v>0</v>
      </c>
      <c r="H10" s="2" t="str">
        <f t="shared" si="2"/>
        <v>불합격</v>
      </c>
      <c r="I10" s="30"/>
      <c r="J10" s="30"/>
      <c r="K10" s="30"/>
      <c r="L10" s="30"/>
      <c r="M10" s="30"/>
      <c r="N10" s="30"/>
      <c r="O10" s="2"/>
      <c r="P10" s="2"/>
    </row>
    <row r="11" spans="1:16" hidden="1" x14ac:dyDescent="0.45">
      <c r="A11" s="97" t="s">
        <v>30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</row>
    <row r="12" spans="1:16" hidden="1" x14ac:dyDescent="0.45">
      <c r="A12" s="1" t="s">
        <v>32</v>
      </c>
      <c r="B12" s="2">
        <v>3.367</v>
      </c>
      <c r="C12" s="5">
        <v>22.61</v>
      </c>
      <c r="D12" s="2">
        <v>3</v>
      </c>
      <c r="E12" s="2">
        <v>479</v>
      </c>
      <c r="F12" s="5">
        <f t="shared" si="0"/>
        <v>28.740000000000002</v>
      </c>
      <c r="G12" s="30" t="str">
        <f>IFERROR(A12/D12,"-")</f>
        <v>-</v>
      </c>
      <c r="H12" s="2" t="str">
        <f>IF(OR(C12&lt;F12*0.9,C12&gt;F12*1.1),"불합격","합격")</f>
        <v>불합격</v>
      </c>
      <c r="I12" s="30"/>
      <c r="J12" s="30"/>
      <c r="K12" s="30"/>
      <c r="L12" s="30"/>
      <c r="M12" s="30"/>
      <c r="N12" s="30"/>
      <c r="O12" s="2" t="str">
        <f>A12</f>
        <v>HP-1-#2</v>
      </c>
      <c r="P12" s="2"/>
    </row>
    <row r="13" spans="1:16" hidden="1" x14ac:dyDescent="0.45">
      <c r="A13" s="1" t="s">
        <v>31</v>
      </c>
      <c r="B13" s="2">
        <v>3.7480000000000002</v>
      </c>
      <c r="C13" s="5">
        <v>22.43</v>
      </c>
      <c r="D13" s="2">
        <v>3</v>
      </c>
      <c r="E13" s="2">
        <v>479</v>
      </c>
      <c r="F13" s="5">
        <f t="shared" si="0"/>
        <v>28.740000000000002</v>
      </c>
      <c r="G13" s="30" t="str">
        <f>IFERROR(A13/D13,"-")</f>
        <v>-</v>
      </c>
      <c r="H13" s="2" t="str">
        <f>IF(OR(C13&lt;F13*0.9,C13&gt;F13*1.1),"불합격","합격")</f>
        <v>불합격</v>
      </c>
      <c r="I13" s="30"/>
      <c r="J13" s="30"/>
      <c r="K13" s="30"/>
      <c r="L13" s="30"/>
      <c r="M13" s="30"/>
      <c r="N13" s="30"/>
      <c r="O13" s="2" t="str">
        <f>A13</f>
        <v>HP-1-#1</v>
      </c>
      <c r="P13" s="2"/>
    </row>
    <row r="14" spans="1:16" hidden="1" x14ac:dyDescent="0.45">
      <c r="A14" s="1" t="s">
        <v>33</v>
      </c>
      <c r="B14" s="2">
        <v>3.7989999999999999</v>
      </c>
      <c r="C14" s="5">
        <v>15.8</v>
      </c>
      <c r="D14" s="2">
        <v>4</v>
      </c>
      <c r="E14" s="2">
        <v>733</v>
      </c>
      <c r="F14" s="5">
        <f t="shared" si="0"/>
        <v>43.980000000000004</v>
      </c>
      <c r="G14" s="30" t="str">
        <f>IFERROR(A14/D14,"-")</f>
        <v>-</v>
      </c>
      <c r="H14" s="2" t="str">
        <f>IF(OR(C14&lt;F14*0.9,C14&gt;F14*1.1),"불합격","합격")</f>
        <v>불합격</v>
      </c>
      <c r="I14" s="30"/>
      <c r="J14" s="30"/>
      <c r="K14" s="30"/>
      <c r="L14" s="30"/>
      <c r="M14" s="30"/>
      <c r="N14" s="30"/>
      <c r="O14" s="2" t="str">
        <f>A14</f>
        <v>HP-2-#2</v>
      </c>
      <c r="P14" s="2"/>
    </row>
    <row r="15" spans="1:16" hidden="1" x14ac:dyDescent="0.45">
      <c r="A15" s="1" t="s">
        <v>34</v>
      </c>
      <c r="B15" s="2">
        <v>3.4460000000000002</v>
      </c>
      <c r="C15" s="5">
        <v>16</v>
      </c>
      <c r="D15" s="2">
        <v>4</v>
      </c>
      <c r="E15" s="2">
        <v>733</v>
      </c>
      <c r="F15" s="5">
        <f t="shared" si="0"/>
        <v>43.980000000000004</v>
      </c>
      <c r="G15" s="30" t="str">
        <f>IFERROR(A15/D15,"-")</f>
        <v>-</v>
      </c>
      <c r="H15" s="2" t="str">
        <f>IF(OR(C15&lt;F15*0.9,C15&gt;F15*1.1),"불합격","합격")</f>
        <v>불합격</v>
      </c>
      <c r="I15" s="30"/>
      <c r="J15" s="30"/>
      <c r="K15" s="30"/>
      <c r="L15" s="30"/>
      <c r="M15" s="30"/>
      <c r="N15" s="30"/>
      <c r="O15" s="2" t="str">
        <f>A15</f>
        <v>HP-2-#1</v>
      </c>
      <c r="P15" s="2"/>
    </row>
    <row r="16" spans="1:16" hidden="1" x14ac:dyDescent="0.45">
      <c r="A16" s="96" t="s">
        <v>39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</row>
    <row r="17" spans="1:16" hidden="1" x14ac:dyDescent="0.45">
      <c r="A17" s="1" t="s">
        <v>48</v>
      </c>
      <c r="B17" s="2">
        <v>13.75</v>
      </c>
      <c r="C17" s="5">
        <v>139.63999999999999</v>
      </c>
      <c r="D17" s="2">
        <v>11</v>
      </c>
      <c r="E17" s="2" t="s">
        <v>23</v>
      </c>
      <c r="F17" s="5">
        <f>2.043*60</f>
        <v>122.58000000000001</v>
      </c>
      <c r="G17" s="30" t="str">
        <f>IFERROR(A17/D17,"-")</f>
        <v>-</v>
      </c>
      <c r="H17" s="2" t="str">
        <f>IF(OR(C17&lt;F17*0.9,C17&gt;F17*1.1),"불합격","합격")</f>
        <v>불합격</v>
      </c>
      <c r="I17" s="30"/>
      <c r="J17" s="30"/>
      <c r="K17" s="30"/>
      <c r="L17" s="30"/>
      <c r="M17" s="30"/>
      <c r="N17" s="30"/>
      <c r="O17" s="2" t="str">
        <f>A17</f>
        <v>P-5-#3</v>
      </c>
      <c r="P17" s="2"/>
    </row>
    <row r="18" spans="1:16" hidden="1" x14ac:dyDescent="0.45">
      <c r="A18" s="96" t="s">
        <v>112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</row>
    <row r="19" spans="1:16" hidden="1" x14ac:dyDescent="0.45">
      <c r="A19" s="1" t="s">
        <v>120</v>
      </c>
      <c r="B19" s="2">
        <v>3.2120000000000002</v>
      </c>
      <c r="C19" s="5">
        <v>24.062999999999999</v>
      </c>
      <c r="D19" s="2">
        <v>3.7</v>
      </c>
      <c r="F19" s="5">
        <v>40.020000000000003</v>
      </c>
      <c r="G19" s="30" t="str">
        <f>IFERROR(A19/D19,"-")</f>
        <v>-</v>
      </c>
      <c r="H19" s="2" t="str">
        <f>IF(OR(C19&lt;F19*0.9,C19&gt;F19*1.1),"불합격","합격")</f>
        <v>불합격</v>
      </c>
      <c r="I19" s="30"/>
      <c r="J19" s="30"/>
      <c r="K19" s="30"/>
      <c r="L19" s="30"/>
      <c r="M19" s="30"/>
      <c r="N19" s="30"/>
      <c r="O19" s="2" t="str">
        <f>A19</f>
        <v>P-2-#1</v>
      </c>
      <c r="P19" s="2" t="s">
        <v>124</v>
      </c>
    </row>
    <row r="20" spans="1:16" hidden="1" x14ac:dyDescent="0.45">
      <c r="A20" s="96" t="s">
        <v>125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8"/>
      <c r="P20" s="2"/>
    </row>
    <row r="21" spans="1:16" hidden="1" x14ac:dyDescent="0.45">
      <c r="A21" s="1" t="s">
        <v>126</v>
      </c>
      <c r="B21" s="2">
        <v>7.5679999999999996</v>
      </c>
      <c r="C21" s="5">
        <v>87.186999999999998</v>
      </c>
      <c r="D21" s="2">
        <v>7.5</v>
      </c>
      <c r="F21" s="5">
        <v>42</v>
      </c>
      <c r="G21" s="30" t="str">
        <f>IFERROR(A21/D21,"-")</f>
        <v>-</v>
      </c>
      <c r="H21" s="2" t="str">
        <f>IF(OR(C21&lt;F21*0.9,C21&gt;F21*1.1),"불합격","합격")</f>
        <v>불합격</v>
      </c>
      <c r="I21" s="30"/>
      <c r="J21" s="30"/>
      <c r="K21" s="30"/>
      <c r="L21" s="30"/>
      <c r="M21" s="30"/>
      <c r="N21" s="30"/>
      <c r="O21" s="2" t="str">
        <f>A21</f>
        <v>P-3-#1</v>
      </c>
      <c r="P21" s="2" t="s">
        <v>140</v>
      </c>
    </row>
    <row r="22" spans="1:16" hidden="1" x14ac:dyDescent="0.45">
      <c r="A22" s="96" t="s">
        <v>127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8"/>
      <c r="P22" s="2"/>
    </row>
    <row r="23" spans="1:16" hidden="1" x14ac:dyDescent="0.45">
      <c r="A23" s="1" t="s">
        <v>141</v>
      </c>
      <c r="B23" s="2">
        <v>8.952</v>
      </c>
      <c r="C23" s="5">
        <v>78.84</v>
      </c>
      <c r="D23" s="2">
        <v>7.5</v>
      </c>
      <c r="E23" s="2">
        <v>1308</v>
      </c>
      <c r="F23" s="5">
        <f t="shared" si="0"/>
        <v>78.48</v>
      </c>
      <c r="G23" s="30" t="str">
        <f>IFERROR(A23/D23,"-")</f>
        <v>-</v>
      </c>
      <c r="H23" s="2" t="str">
        <f>IF(OR(C23&lt;F23*0.9,C23&gt;F23*1.1),"불합격","합격")</f>
        <v>합격</v>
      </c>
      <c r="I23" s="30"/>
      <c r="J23" s="30"/>
      <c r="K23" s="30"/>
      <c r="L23" s="30"/>
      <c r="M23" s="30"/>
      <c r="N23" s="30"/>
      <c r="O23" s="2" t="str">
        <f>A23</f>
        <v>CHU-4-난방A펌프</v>
      </c>
      <c r="P23" s="2" t="s">
        <v>143</v>
      </c>
    </row>
    <row r="24" spans="1:16" hidden="1" x14ac:dyDescent="0.45">
      <c r="A24" s="33" t="s">
        <v>142</v>
      </c>
      <c r="B24" s="2">
        <v>11.54</v>
      </c>
      <c r="C24" s="5">
        <v>61.83</v>
      </c>
      <c r="D24" s="2">
        <v>7.5</v>
      </c>
      <c r="E24" s="2">
        <v>1308</v>
      </c>
      <c r="F24" s="5">
        <f t="shared" si="0"/>
        <v>78.48</v>
      </c>
      <c r="G24" s="30" t="str">
        <f>IFERROR(A24/D24,"-")</f>
        <v>-</v>
      </c>
      <c r="H24" s="2" t="str">
        <f>IF(OR(C24&lt;F24*0.9,C24&gt;F24*1.1),"불합격","합격")</f>
        <v>불합격</v>
      </c>
      <c r="I24" s="30"/>
      <c r="J24" s="30"/>
      <c r="K24" s="30"/>
      <c r="L24" s="30"/>
      <c r="M24" s="30"/>
      <c r="N24" s="30"/>
      <c r="O24" s="2" t="str">
        <f>A24</f>
        <v>CHU-4-난방예비펌프</v>
      </c>
      <c r="P24" s="2" t="s">
        <v>144</v>
      </c>
    </row>
    <row r="25" spans="1:16" hidden="1" x14ac:dyDescent="0.45">
      <c r="A25" s="96" t="s">
        <v>139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8"/>
      <c r="P25" s="2"/>
    </row>
    <row r="26" spans="1:16" hidden="1" x14ac:dyDescent="0.45">
      <c r="A26" s="1" t="s">
        <v>145</v>
      </c>
      <c r="B26" s="2">
        <v>4.0199999999999996</v>
      </c>
      <c r="C26" s="5">
        <v>16.809999999999999</v>
      </c>
      <c r="D26" s="2">
        <f>7.5*0.75</f>
        <v>5.625</v>
      </c>
      <c r="E26" s="2">
        <v>687</v>
      </c>
      <c r="F26" s="5">
        <f t="shared" si="0"/>
        <v>41.22</v>
      </c>
      <c r="G26" s="30" t="str">
        <f>IFERROR(A26/D26,"-")</f>
        <v>-</v>
      </c>
      <c r="H26" s="2" t="str">
        <f>IF(OR(C26&lt;F26*0.9,C26&gt;F26*1.1),"불합격","합격")</f>
        <v>불합격</v>
      </c>
      <c r="I26" s="30"/>
      <c r="J26" s="30"/>
      <c r="K26" s="30"/>
      <c r="L26" s="30"/>
      <c r="M26" s="30"/>
      <c r="N26" s="30"/>
      <c r="O26" s="2" t="str">
        <f>A26</f>
        <v>HP-21-예비</v>
      </c>
      <c r="P26" s="2"/>
    </row>
    <row r="27" spans="1:16" hidden="1" x14ac:dyDescent="0.45">
      <c r="A27" s="1" t="s">
        <v>146</v>
      </c>
      <c r="B27" s="2">
        <v>4.03</v>
      </c>
      <c r="C27" s="5">
        <v>14.21</v>
      </c>
      <c r="D27" s="2">
        <v>5.625</v>
      </c>
      <c r="E27" s="2">
        <v>687</v>
      </c>
      <c r="F27" s="5">
        <f t="shared" si="0"/>
        <v>41.22</v>
      </c>
      <c r="G27" s="30" t="str">
        <f t="shared" ref="G27:G30" si="3">IFERROR(A27/D27,"-")</f>
        <v>-</v>
      </c>
      <c r="H27" s="2" t="str">
        <f>IF(OR(C27&lt;F27*0.9,C27&gt;F27*1.1),"불합격","합격")</f>
        <v>불합격</v>
      </c>
      <c r="I27" s="30"/>
      <c r="J27" s="30"/>
      <c r="K27" s="30"/>
      <c r="L27" s="30"/>
      <c r="M27" s="30"/>
      <c r="N27" s="30"/>
      <c r="O27" s="2" t="str">
        <f>A27</f>
        <v>HP-21-주</v>
      </c>
      <c r="P27" s="2"/>
    </row>
    <row r="28" spans="1:16" hidden="1" x14ac:dyDescent="0.45">
      <c r="A28" s="1" t="s">
        <v>147</v>
      </c>
      <c r="B28" s="2">
        <v>4.3899999999999997</v>
      </c>
      <c r="C28" s="5">
        <v>27.91</v>
      </c>
      <c r="D28" s="2">
        <v>5.625</v>
      </c>
      <c r="E28" s="2">
        <v>709</v>
      </c>
      <c r="F28" s="5">
        <f t="shared" si="0"/>
        <v>42.54</v>
      </c>
      <c r="G28" s="30" t="str">
        <f t="shared" si="3"/>
        <v>-</v>
      </c>
      <c r="H28" s="2" t="str">
        <f>IF(OR(C28&lt;F28*0.9,C28&gt;F28*1.1),"불합격","합격")</f>
        <v>불합격</v>
      </c>
      <c r="I28" s="30"/>
      <c r="J28" s="30"/>
      <c r="K28" s="30"/>
      <c r="L28" s="30"/>
      <c r="M28" s="30"/>
      <c r="N28" s="30"/>
      <c r="O28" s="2" t="str">
        <f>A28</f>
        <v>HP-22-주</v>
      </c>
      <c r="P28" s="2"/>
    </row>
    <row r="29" spans="1:16" hidden="1" x14ac:dyDescent="0.45">
      <c r="A29" s="96" t="s">
        <v>153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8"/>
      <c r="P29" s="2"/>
    </row>
    <row r="30" spans="1:16" hidden="1" x14ac:dyDescent="0.45">
      <c r="A30" s="1" t="s">
        <v>154</v>
      </c>
      <c r="B30" s="5">
        <f>1.732*380*0.85*108.6*0.001</f>
        <v>60.75474959999999</v>
      </c>
      <c r="C30" s="5">
        <v>501.14</v>
      </c>
      <c r="D30" s="2">
        <v>75</v>
      </c>
      <c r="E30" s="2">
        <f>117*60</f>
        <v>7020</v>
      </c>
      <c r="F30" s="5">
        <f t="shared" si="0"/>
        <v>421.2</v>
      </c>
      <c r="G30" s="30" t="str">
        <f t="shared" si="3"/>
        <v>-</v>
      </c>
      <c r="H30" s="2" t="str">
        <f t="shared" ref="H30" si="4">IF(OR(C30&lt;F30*0.9,C30&gt;F30*1.1),"불합격","합격")</f>
        <v>불합격</v>
      </c>
      <c r="I30" s="30"/>
      <c r="J30" s="30"/>
      <c r="K30" s="30"/>
      <c r="L30" s="30"/>
      <c r="M30" s="30"/>
      <c r="N30" s="30"/>
      <c r="O30" s="2" t="str">
        <f t="shared" ref="O30:O61" si="5">A30</f>
        <v>P-2-1호기</v>
      </c>
      <c r="P30" s="2" t="s">
        <v>155</v>
      </c>
    </row>
    <row r="31" spans="1:16" x14ac:dyDescent="0.45">
      <c r="C31" s="5"/>
      <c r="F31" s="5">
        <f t="shared" si="0"/>
        <v>0</v>
      </c>
      <c r="G31" s="30" t="str">
        <f>IFERROR(C31/F31,"-")</f>
        <v>-</v>
      </c>
      <c r="H31" s="2" t="str">
        <f>IF(OR(C31&lt;F31*0.8,C31&gt;F31*1.2),"불합격","합격")</f>
        <v>합격</v>
      </c>
      <c r="I31" s="41"/>
      <c r="J31" s="41"/>
      <c r="K31" s="34">
        <f>(J31-I31)*10</f>
        <v>0</v>
      </c>
      <c r="L31" s="41"/>
      <c r="M31" s="30" t="str">
        <f>IFERROR(K31/L31,"-")</f>
        <v>-</v>
      </c>
      <c r="N31" s="30" t="str">
        <f>IF(OR(K31&lt;L31*0.8,K31&gt;L31*1.2),"불합격","합격")</f>
        <v>합격</v>
      </c>
      <c r="O31" s="2">
        <f t="shared" si="5"/>
        <v>0</v>
      </c>
      <c r="P31" s="2"/>
    </row>
    <row r="32" spans="1:16" x14ac:dyDescent="0.45">
      <c r="C32" s="5"/>
      <c r="F32" s="5">
        <f t="shared" si="0"/>
        <v>0</v>
      </c>
      <c r="G32" s="30" t="str">
        <f t="shared" ref="G32:G95" si="6">IFERROR(C32/F32,"-")</f>
        <v>-</v>
      </c>
      <c r="H32" s="2" t="str">
        <f t="shared" ref="H32:H95" si="7">IF(OR(C32&lt;F32*0.8,C32&gt;F32*1.2),"불합격","합격")</f>
        <v>합격</v>
      </c>
      <c r="I32" s="41"/>
      <c r="J32" s="41"/>
      <c r="K32" s="34">
        <f t="shared" ref="K32:K95" si="8">(J32-I32)*10</f>
        <v>0</v>
      </c>
      <c r="L32" s="41"/>
      <c r="M32" s="30" t="str">
        <f t="shared" ref="M32:M95" si="9">IFERROR(K32/L32,"-")</f>
        <v>-</v>
      </c>
      <c r="N32" s="30" t="str">
        <f t="shared" ref="N32:N95" si="10">IF(OR(K32&lt;L32*0.8,K32&gt;L32*1.2),"불합격","합격")</f>
        <v>합격</v>
      </c>
      <c r="O32" s="2">
        <f t="shared" si="5"/>
        <v>0</v>
      </c>
      <c r="P32" s="2"/>
    </row>
    <row r="33" spans="3:16" x14ac:dyDescent="0.45">
      <c r="C33" s="5"/>
      <c r="F33" s="5">
        <f t="shared" si="0"/>
        <v>0</v>
      </c>
      <c r="G33" s="30" t="str">
        <f t="shared" si="6"/>
        <v>-</v>
      </c>
      <c r="H33" s="2" t="str">
        <f t="shared" si="7"/>
        <v>합격</v>
      </c>
      <c r="I33" s="41"/>
      <c r="J33" s="41"/>
      <c r="K33" s="34">
        <f t="shared" si="8"/>
        <v>0</v>
      </c>
      <c r="L33" s="41"/>
      <c r="M33" s="30" t="str">
        <f t="shared" si="9"/>
        <v>-</v>
      </c>
      <c r="N33" s="30" t="str">
        <f t="shared" si="10"/>
        <v>합격</v>
      </c>
      <c r="O33" s="2">
        <f t="shared" si="5"/>
        <v>0</v>
      </c>
      <c r="P33" s="2"/>
    </row>
    <row r="34" spans="3:16" x14ac:dyDescent="0.45">
      <c r="C34" s="5"/>
      <c r="F34" s="5">
        <f t="shared" si="0"/>
        <v>0</v>
      </c>
      <c r="G34" s="30" t="str">
        <f t="shared" si="6"/>
        <v>-</v>
      </c>
      <c r="H34" s="2" t="str">
        <f t="shared" si="7"/>
        <v>합격</v>
      </c>
      <c r="I34" s="41"/>
      <c r="J34" s="41"/>
      <c r="K34" s="34">
        <f t="shared" si="8"/>
        <v>0</v>
      </c>
      <c r="L34" s="41"/>
      <c r="M34" s="30" t="str">
        <f t="shared" si="9"/>
        <v>-</v>
      </c>
      <c r="N34" s="30" t="str">
        <f t="shared" si="10"/>
        <v>합격</v>
      </c>
      <c r="O34" s="2">
        <f t="shared" si="5"/>
        <v>0</v>
      </c>
      <c r="P34" s="2"/>
    </row>
    <row r="35" spans="3:16" x14ac:dyDescent="0.45">
      <c r="C35" s="5"/>
      <c r="F35" s="5">
        <f t="shared" si="0"/>
        <v>0</v>
      </c>
      <c r="G35" s="30" t="str">
        <f t="shared" si="6"/>
        <v>-</v>
      </c>
      <c r="H35" s="2" t="str">
        <f t="shared" si="7"/>
        <v>합격</v>
      </c>
      <c r="I35" s="41"/>
      <c r="J35" s="41"/>
      <c r="K35" s="34">
        <f t="shared" si="8"/>
        <v>0</v>
      </c>
      <c r="L35" s="41"/>
      <c r="M35" s="30" t="str">
        <f t="shared" si="9"/>
        <v>-</v>
      </c>
      <c r="N35" s="30" t="str">
        <f t="shared" si="10"/>
        <v>합격</v>
      </c>
      <c r="O35" s="2">
        <f t="shared" si="5"/>
        <v>0</v>
      </c>
      <c r="P35" s="2"/>
    </row>
    <row r="36" spans="3:16" x14ac:dyDescent="0.45">
      <c r="C36" s="5"/>
      <c r="F36" s="18">
        <f t="shared" si="0"/>
        <v>0</v>
      </c>
      <c r="G36" s="30" t="str">
        <f t="shared" si="6"/>
        <v>-</v>
      </c>
      <c r="H36" s="2" t="str">
        <f t="shared" si="7"/>
        <v>합격</v>
      </c>
      <c r="I36" s="41"/>
      <c r="J36" s="41"/>
      <c r="K36" s="34">
        <f t="shared" si="8"/>
        <v>0</v>
      </c>
      <c r="L36" s="41"/>
      <c r="M36" s="30" t="str">
        <f t="shared" si="9"/>
        <v>-</v>
      </c>
      <c r="N36" s="30" t="str">
        <f t="shared" si="10"/>
        <v>합격</v>
      </c>
      <c r="O36" s="2">
        <f t="shared" si="5"/>
        <v>0</v>
      </c>
      <c r="P36" s="2"/>
    </row>
    <row r="37" spans="3:16" x14ac:dyDescent="0.45">
      <c r="C37" s="5"/>
      <c r="F37" s="18">
        <f t="shared" si="0"/>
        <v>0</v>
      </c>
      <c r="G37" s="30" t="str">
        <f t="shared" si="6"/>
        <v>-</v>
      </c>
      <c r="H37" s="2" t="str">
        <f t="shared" si="7"/>
        <v>합격</v>
      </c>
      <c r="I37" s="41"/>
      <c r="J37" s="41"/>
      <c r="K37" s="34">
        <f t="shared" si="8"/>
        <v>0</v>
      </c>
      <c r="L37" s="41"/>
      <c r="M37" s="30" t="str">
        <f t="shared" si="9"/>
        <v>-</v>
      </c>
      <c r="N37" s="30" t="str">
        <f t="shared" si="10"/>
        <v>합격</v>
      </c>
      <c r="O37" s="2">
        <f t="shared" si="5"/>
        <v>0</v>
      </c>
      <c r="P37" s="2"/>
    </row>
    <row r="38" spans="3:16" x14ac:dyDescent="0.45">
      <c r="C38" s="5"/>
      <c r="F38" s="18">
        <f t="shared" si="0"/>
        <v>0</v>
      </c>
      <c r="G38" s="30" t="str">
        <f t="shared" si="6"/>
        <v>-</v>
      </c>
      <c r="H38" s="2" t="str">
        <f t="shared" si="7"/>
        <v>합격</v>
      </c>
      <c r="I38" s="41"/>
      <c r="J38" s="41"/>
      <c r="K38" s="34">
        <f t="shared" si="8"/>
        <v>0</v>
      </c>
      <c r="L38" s="41"/>
      <c r="M38" s="30" t="str">
        <f t="shared" si="9"/>
        <v>-</v>
      </c>
      <c r="N38" s="30" t="str">
        <f t="shared" si="10"/>
        <v>합격</v>
      </c>
      <c r="O38" s="2">
        <f t="shared" si="5"/>
        <v>0</v>
      </c>
      <c r="P38" s="2"/>
    </row>
    <row r="39" spans="3:16" x14ac:dyDescent="0.45">
      <c r="C39" s="5"/>
      <c r="F39" s="18">
        <f t="shared" si="0"/>
        <v>0</v>
      </c>
      <c r="G39" s="30" t="str">
        <f t="shared" si="6"/>
        <v>-</v>
      </c>
      <c r="H39" s="2" t="str">
        <f t="shared" si="7"/>
        <v>합격</v>
      </c>
      <c r="I39" s="41"/>
      <c r="J39" s="41"/>
      <c r="K39" s="34">
        <f t="shared" si="8"/>
        <v>0</v>
      </c>
      <c r="L39" s="41"/>
      <c r="M39" s="30" t="str">
        <f t="shared" si="9"/>
        <v>-</v>
      </c>
      <c r="N39" s="30" t="str">
        <f t="shared" si="10"/>
        <v>합격</v>
      </c>
      <c r="O39" s="2">
        <f t="shared" si="5"/>
        <v>0</v>
      </c>
      <c r="P39" s="2"/>
    </row>
    <row r="40" spans="3:16" x14ac:dyDescent="0.45">
      <c r="C40" s="5"/>
      <c r="F40" s="18">
        <f t="shared" si="0"/>
        <v>0</v>
      </c>
      <c r="G40" s="30" t="str">
        <f t="shared" si="6"/>
        <v>-</v>
      </c>
      <c r="H40" s="2" t="str">
        <f t="shared" si="7"/>
        <v>합격</v>
      </c>
      <c r="I40" s="41"/>
      <c r="J40" s="41"/>
      <c r="K40" s="34">
        <f t="shared" si="8"/>
        <v>0</v>
      </c>
      <c r="L40" s="41"/>
      <c r="M40" s="30" t="str">
        <f t="shared" si="9"/>
        <v>-</v>
      </c>
      <c r="N40" s="30" t="str">
        <f t="shared" si="10"/>
        <v>합격</v>
      </c>
      <c r="O40" s="2">
        <f t="shared" si="5"/>
        <v>0</v>
      </c>
      <c r="P40" s="2"/>
    </row>
    <row r="41" spans="3:16" x14ac:dyDescent="0.45">
      <c r="C41" s="5"/>
      <c r="F41" s="18">
        <f t="shared" si="0"/>
        <v>0</v>
      </c>
      <c r="G41" s="30" t="str">
        <f t="shared" si="6"/>
        <v>-</v>
      </c>
      <c r="H41" s="2" t="str">
        <f t="shared" si="7"/>
        <v>합격</v>
      </c>
      <c r="I41" s="41"/>
      <c r="J41" s="41"/>
      <c r="K41" s="34">
        <f t="shared" si="8"/>
        <v>0</v>
      </c>
      <c r="L41" s="41"/>
      <c r="M41" s="30" t="str">
        <f t="shared" si="9"/>
        <v>-</v>
      </c>
      <c r="N41" s="30" t="str">
        <f t="shared" si="10"/>
        <v>합격</v>
      </c>
      <c r="O41" s="2">
        <f t="shared" si="5"/>
        <v>0</v>
      </c>
      <c r="P41" s="2"/>
    </row>
    <row r="42" spans="3:16" x14ac:dyDescent="0.45">
      <c r="C42" s="5"/>
      <c r="F42" s="18">
        <f t="shared" si="0"/>
        <v>0</v>
      </c>
      <c r="G42" s="30" t="str">
        <f t="shared" si="6"/>
        <v>-</v>
      </c>
      <c r="H42" s="2" t="str">
        <f t="shared" si="7"/>
        <v>합격</v>
      </c>
      <c r="I42" s="41"/>
      <c r="J42" s="41"/>
      <c r="K42" s="34">
        <f t="shared" si="8"/>
        <v>0</v>
      </c>
      <c r="L42" s="41"/>
      <c r="M42" s="30" t="str">
        <f t="shared" si="9"/>
        <v>-</v>
      </c>
      <c r="N42" s="30" t="str">
        <f t="shared" si="10"/>
        <v>합격</v>
      </c>
      <c r="O42" s="2">
        <f t="shared" si="5"/>
        <v>0</v>
      </c>
      <c r="P42" s="2"/>
    </row>
    <row r="43" spans="3:16" x14ac:dyDescent="0.45">
      <c r="C43" s="5"/>
      <c r="F43" s="18">
        <f t="shared" si="0"/>
        <v>0</v>
      </c>
      <c r="G43" s="30" t="str">
        <f t="shared" si="6"/>
        <v>-</v>
      </c>
      <c r="H43" s="2" t="str">
        <f t="shared" si="7"/>
        <v>합격</v>
      </c>
      <c r="I43" s="41"/>
      <c r="J43" s="41"/>
      <c r="K43" s="34">
        <f t="shared" si="8"/>
        <v>0</v>
      </c>
      <c r="L43" s="41"/>
      <c r="M43" s="30" t="str">
        <f t="shared" si="9"/>
        <v>-</v>
      </c>
      <c r="N43" s="30" t="str">
        <f t="shared" si="10"/>
        <v>합격</v>
      </c>
      <c r="O43" s="2">
        <f t="shared" si="5"/>
        <v>0</v>
      </c>
      <c r="P43" s="2"/>
    </row>
    <row r="44" spans="3:16" x14ac:dyDescent="0.45">
      <c r="C44" s="5"/>
      <c r="F44" s="18">
        <f t="shared" si="0"/>
        <v>0</v>
      </c>
      <c r="G44" s="30" t="str">
        <f t="shared" si="6"/>
        <v>-</v>
      </c>
      <c r="H44" s="2" t="str">
        <f t="shared" si="7"/>
        <v>합격</v>
      </c>
      <c r="I44" s="41"/>
      <c r="J44" s="41"/>
      <c r="K44" s="34">
        <f t="shared" si="8"/>
        <v>0</v>
      </c>
      <c r="L44" s="41"/>
      <c r="M44" s="30" t="str">
        <f t="shared" si="9"/>
        <v>-</v>
      </c>
      <c r="N44" s="30" t="str">
        <f t="shared" si="10"/>
        <v>합격</v>
      </c>
      <c r="O44" s="2">
        <f t="shared" si="5"/>
        <v>0</v>
      </c>
      <c r="P44" s="2"/>
    </row>
    <row r="45" spans="3:16" x14ac:dyDescent="0.45">
      <c r="C45" s="5"/>
      <c r="F45" s="18">
        <f t="shared" si="0"/>
        <v>0</v>
      </c>
      <c r="G45" s="30" t="str">
        <f t="shared" si="6"/>
        <v>-</v>
      </c>
      <c r="H45" s="2" t="str">
        <f t="shared" si="7"/>
        <v>합격</v>
      </c>
      <c r="I45" s="41"/>
      <c r="J45" s="41"/>
      <c r="K45" s="34">
        <f t="shared" si="8"/>
        <v>0</v>
      </c>
      <c r="L45" s="41"/>
      <c r="M45" s="30" t="str">
        <f t="shared" si="9"/>
        <v>-</v>
      </c>
      <c r="N45" s="30" t="str">
        <f t="shared" si="10"/>
        <v>합격</v>
      </c>
      <c r="O45" s="2">
        <f t="shared" si="5"/>
        <v>0</v>
      </c>
      <c r="P45" s="2"/>
    </row>
    <row r="46" spans="3:16" x14ac:dyDescent="0.45">
      <c r="C46" s="5"/>
      <c r="F46" s="18">
        <f t="shared" si="0"/>
        <v>0</v>
      </c>
      <c r="G46" s="30" t="str">
        <f t="shared" si="6"/>
        <v>-</v>
      </c>
      <c r="H46" s="2" t="str">
        <f t="shared" si="7"/>
        <v>합격</v>
      </c>
      <c r="I46" s="41"/>
      <c r="J46" s="41"/>
      <c r="K46" s="34">
        <f t="shared" si="8"/>
        <v>0</v>
      </c>
      <c r="L46" s="41"/>
      <c r="M46" s="30" t="str">
        <f t="shared" si="9"/>
        <v>-</v>
      </c>
      <c r="N46" s="30" t="str">
        <f t="shared" si="10"/>
        <v>합격</v>
      </c>
      <c r="O46" s="2">
        <f t="shared" si="5"/>
        <v>0</v>
      </c>
      <c r="P46" s="2"/>
    </row>
    <row r="47" spans="3:16" x14ac:dyDescent="0.45">
      <c r="C47" s="5"/>
      <c r="F47" s="18">
        <f t="shared" si="0"/>
        <v>0</v>
      </c>
      <c r="G47" s="30" t="str">
        <f t="shared" si="6"/>
        <v>-</v>
      </c>
      <c r="H47" s="2" t="str">
        <f t="shared" si="7"/>
        <v>합격</v>
      </c>
      <c r="I47" s="41"/>
      <c r="J47" s="41"/>
      <c r="K47" s="34">
        <f t="shared" si="8"/>
        <v>0</v>
      </c>
      <c r="L47" s="41"/>
      <c r="M47" s="30" t="str">
        <f t="shared" si="9"/>
        <v>-</v>
      </c>
      <c r="N47" s="30" t="str">
        <f t="shared" si="10"/>
        <v>합격</v>
      </c>
      <c r="O47" s="2">
        <f t="shared" si="5"/>
        <v>0</v>
      </c>
      <c r="P47" s="2"/>
    </row>
    <row r="48" spans="3:16" x14ac:dyDescent="0.45">
      <c r="C48" s="5"/>
      <c r="F48" s="18">
        <f t="shared" si="0"/>
        <v>0</v>
      </c>
      <c r="G48" s="30" t="str">
        <f t="shared" si="6"/>
        <v>-</v>
      </c>
      <c r="H48" s="2" t="str">
        <f t="shared" si="7"/>
        <v>합격</v>
      </c>
      <c r="I48" s="41"/>
      <c r="J48" s="41"/>
      <c r="K48" s="34">
        <f t="shared" si="8"/>
        <v>0</v>
      </c>
      <c r="L48" s="41"/>
      <c r="M48" s="30" t="str">
        <f t="shared" si="9"/>
        <v>-</v>
      </c>
      <c r="N48" s="30" t="str">
        <f t="shared" si="10"/>
        <v>합격</v>
      </c>
      <c r="O48" s="2">
        <f t="shared" si="5"/>
        <v>0</v>
      </c>
      <c r="P48" s="2"/>
    </row>
    <row r="49" spans="3:16" x14ac:dyDescent="0.45">
      <c r="C49" s="5"/>
      <c r="F49" s="18">
        <f t="shared" si="0"/>
        <v>0</v>
      </c>
      <c r="G49" s="30" t="str">
        <f t="shared" si="6"/>
        <v>-</v>
      </c>
      <c r="H49" s="2" t="str">
        <f t="shared" si="7"/>
        <v>합격</v>
      </c>
      <c r="I49" s="41"/>
      <c r="J49" s="41"/>
      <c r="K49" s="34">
        <f t="shared" si="8"/>
        <v>0</v>
      </c>
      <c r="L49" s="41"/>
      <c r="M49" s="30" t="str">
        <f t="shared" si="9"/>
        <v>-</v>
      </c>
      <c r="N49" s="30" t="str">
        <f t="shared" si="10"/>
        <v>합격</v>
      </c>
      <c r="O49" s="2">
        <f t="shared" si="5"/>
        <v>0</v>
      </c>
      <c r="P49" s="2"/>
    </row>
    <row r="50" spans="3:16" x14ac:dyDescent="0.45">
      <c r="C50" s="5"/>
      <c r="F50" s="18">
        <f t="shared" si="0"/>
        <v>0</v>
      </c>
      <c r="G50" s="30" t="str">
        <f t="shared" si="6"/>
        <v>-</v>
      </c>
      <c r="H50" s="2" t="str">
        <f t="shared" si="7"/>
        <v>합격</v>
      </c>
      <c r="I50" s="41"/>
      <c r="J50" s="41"/>
      <c r="K50" s="34">
        <f t="shared" si="8"/>
        <v>0</v>
      </c>
      <c r="L50" s="41"/>
      <c r="M50" s="30" t="str">
        <f t="shared" si="9"/>
        <v>-</v>
      </c>
      <c r="N50" s="30" t="str">
        <f t="shared" si="10"/>
        <v>합격</v>
      </c>
      <c r="O50" s="2">
        <f t="shared" si="5"/>
        <v>0</v>
      </c>
      <c r="P50" s="2"/>
    </row>
    <row r="51" spans="3:16" x14ac:dyDescent="0.45">
      <c r="C51" s="5"/>
      <c r="F51" s="18">
        <f t="shared" si="0"/>
        <v>0</v>
      </c>
      <c r="G51" s="30" t="str">
        <f t="shared" si="6"/>
        <v>-</v>
      </c>
      <c r="H51" s="2" t="str">
        <f t="shared" si="7"/>
        <v>합격</v>
      </c>
      <c r="I51" s="41"/>
      <c r="J51" s="41"/>
      <c r="K51" s="34">
        <f t="shared" si="8"/>
        <v>0</v>
      </c>
      <c r="L51" s="41"/>
      <c r="M51" s="30" t="str">
        <f t="shared" si="9"/>
        <v>-</v>
      </c>
      <c r="N51" s="30" t="str">
        <f t="shared" si="10"/>
        <v>합격</v>
      </c>
      <c r="O51" s="2">
        <f t="shared" si="5"/>
        <v>0</v>
      </c>
      <c r="P51" s="2"/>
    </row>
    <row r="52" spans="3:16" x14ac:dyDescent="0.45">
      <c r="C52" s="5"/>
      <c r="F52" s="18">
        <f t="shared" si="0"/>
        <v>0</v>
      </c>
      <c r="G52" s="30" t="str">
        <f t="shared" si="6"/>
        <v>-</v>
      </c>
      <c r="H52" s="2" t="str">
        <f t="shared" si="7"/>
        <v>합격</v>
      </c>
      <c r="I52" s="41"/>
      <c r="J52" s="41"/>
      <c r="K52" s="34">
        <f t="shared" si="8"/>
        <v>0</v>
      </c>
      <c r="L52" s="41"/>
      <c r="M52" s="30" t="str">
        <f t="shared" si="9"/>
        <v>-</v>
      </c>
      <c r="N52" s="30" t="str">
        <f t="shared" si="10"/>
        <v>합격</v>
      </c>
      <c r="O52" s="2">
        <f t="shared" si="5"/>
        <v>0</v>
      </c>
      <c r="P52" s="2"/>
    </row>
    <row r="53" spans="3:16" x14ac:dyDescent="0.45">
      <c r="C53" s="5"/>
      <c r="F53" s="18">
        <f t="shared" si="0"/>
        <v>0</v>
      </c>
      <c r="G53" s="30" t="str">
        <f t="shared" si="6"/>
        <v>-</v>
      </c>
      <c r="H53" s="2" t="str">
        <f t="shared" si="7"/>
        <v>합격</v>
      </c>
      <c r="I53" s="41"/>
      <c r="J53" s="41"/>
      <c r="K53" s="34">
        <f t="shared" si="8"/>
        <v>0</v>
      </c>
      <c r="L53" s="41"/>
      <c r="M53" s="30" t="str">
        <f t="shared" si="9"/>
        <v>-</v>
      </c>
      <c r="N53" s="30" t="str">
        <f t="shared" si="10"/>
        <v>합격</v>
      </c>
      <c r="O53" s="2">
        <f t="shared" si="5"/>
        <v>0</v>
      </c>
      <c r="P53" s="2"/>
    </row>
    <row r="54" spans="3:16" x14ac:dyDescent="0.45">
      <c r="C54" s="5"/>
      <c r="F54" s="18">
        <f t="shared" si="0"/>
        <v>0</v>
      </c>
      <c r="G54" s="30" t="str">
        <f t="shared" si="6"/>
        <v>-</v>
      </c>
      <c r="H54" s="2" t="str">
        <f t="shared" si="7"/>
        <v>합격</v>
      </c>
      <c r="I54" s="41"/>
      <c r="J54" s="41"/>
      <c r="K54" s="34">
        <f t="shared" si="8"/>
        <v>0</v>
      </c>
      <c r="L54" s="41"/>
      <c r="M54" s="30" t="str">
        <f t="shared" si="9"/>
        <v>-</v>
      </c>
      <c r="N54" s="30" t="str">
        <f t="shared" si="10"/>
        <v>합격</v>
      </c>
      <c r="O54" s="2">
        <f t="shared" si="5"/>
        <v>0</v>
      </c>
      <c r="P54" s="2"/>
    </row>
    <row r="55" spans="3:16" x14ac:dyDescent="0.45">
      <c r="C55" s="5"/>
      <c r="F55" s="18">
        <f t="shared" si="0"/>
        <v>0</v>
      </c>
      <c r="G55" s="30" t="str">
        <f t="shared" si="6"/>
        <v>-</v>
      </c>
      <c r="H55" s="2" t="str">
        <f t="shared" si="7"/>
        <v>합격</v>
      </c>
      <c r="I55" s="41"/>
      <c r="J55" s="41"/>
      <c r="K55" s="34">
        <f t="shared" si="8"/>
        <v>0</v>
      </c>
      <c r="L55" s="41"/>
      <c r="M55" s="30" t="str">
        <f t="shared" si="9"/>
        <v>-</v>
      </c>
      <c r="N55" s="30" t="str">
        <f t="shared" si="10"/>
        <v>합격</v>
      </c>
      <c r="O55" s="2">
        <f t="shared" si="5"/>
        <v>0</v>
      </c>
      <c r="P55" s="2"/>
    </row>
    <row r="56" spans="3:16" x14ac:dyDescent="0.45">
      <c r="C56" s="5"/>
      <c r="F56" s="18">
        <f t="shared" si="0"/>
        <v>0</v>
      </c>
      <c r="G56" s="30" t="str">
        <f t="shared" si="6"/>
        <v>-</v>
      </c>
      <c r="H56" s="2" t="str">
        <f t="shared" si="7"/>
        <v>합격</v>
      </c>
      <c r="I56" s="41"/>
      <c r="J56" s="41"/>
      <c r="K56" s="34">
        <f t="shared" si="8"/>
        <v>0</v>
      </c>
      <c r="L56" s="41"/>
      <c r="M56" s="30" t="str">
        <f t="shared" si="9"/>
        <v>-</v>
      </c>
      <c r="N56" s="30" t="str">
        <f t="shared" si="10"/>
        <v>합격</v>
      </c>
      <c r="O56" s="2">
        <f t="shared" si="5"/>
        <v>0</v>
      </c>
      <c r="P56" s="2"/>
    </row>
    <row r="57" spans="3:16" x14ac:dyDescent="0.45">
      <c r="C57" s="5"/>
      <c r="F57" s="18">
        <f t="shared" si="0"/>
        <v>0</v>
      </c>
      <c r="G57" s="30" t="str">
        <f t="shared" si="6"/>
        <v>-</v>
      </c>
      <c r="H57" s="2" t="str">
        <f t="shared" si="7"/>
        <v>합격</v>
      </c>
      <c r="I57" s="41"/>
      <c r="J57" s="41"/>
      <c r="K57" s="34">
        <f t="shared" si="8"/>
        <v>0</v>
      </c>
      <c r="L57" s="41"/>
      <c r="M57" s="30" t="str">
        <f t="shared" si="9"/>
        <v>-</v>
      </c>
      <c r="N57" s="30" t="str">
        <f t="shared" si="10"/>
        <v>합격</v>
      </c>
      <c r="O57" s="2">
        <f t="shared" si="5"/>
        <v>0</v>
      </c>
      <c r="P57" s="2"/>
    </row>
    <row r="58" spans="3:16" x14ac:dyDescent="0.45">
      <c r="C58" s="5"/>
      <c r="F58" s="18">
        <f t="shared" si="0"/>
        <v>0</v>
      </c>
      <c r="G58" s="30" t="str">
        <f t="shared" si="6"/>
        <v>-</v>
      </c>
      <c r="H58" s="2" t="str">
        <f t="shared" si="7"/>
        <v>합격</v>
      </c>
      <c r="I58" s="41"/>
      <c r="J58" s="41"/>
      <c r="K58" s="34">
        <f t="shared" si="8"/>
        <v>0</v>
      </c>
      <c r="L58" s="41"/>
      <c r="M58" s="30" t="str">
        <f t="shared" si="9"/>
        <v>-</v>
      </c>
      <c r="N58" s="30" t="str">
        <f t="shared" si="10"/>
        <v>합격</v>
      </c>
      <c r="O58" s="2">
        <f t="shared" si="5"/>
        <v>0</v>
      </c>
      <c r="P58" s="2"/>
    </row>
    <row r="59" spans="3:16" x14ac:dyDescent="0.45">
      <c r="C59" s="5"/>
      <c r="F59" s="18">
        <f t="shared" si="0"/>
        <v>0</v>
      </c>
      <c r="G59" s="30" t="str">
        <f t="shared" si="6"/>
        <v>-</v>
      </c>
      <c r="H59" s="2" t="str">
        <f t="shared" si="7"/>
        <v>합격</v>
      </c>
      <c r="I59" s="41"/>
      <c r="J59" s="41"/>
      <c r="K59" s="34">
        <f t="shared" si="8"/>
        <v>0</v>
      </c>
      <c r="L59" s="41"/>
      <c r="M59" s="30" t="str">
        <f t="shared" si="9"/>
        <v>-</v>
      </c>
      <c r="N59" s="30" t="str">
        <f t="shared" si="10"/>
        <v>합격</v>
      </c>
      <c r="O59" s="2">
        <f t="shared" si="5"/>
        <v>0</v>
      </c>
      <c r="P59" s="2"/>
    </row>
    <row r="60" spans="3:16" x14ac:dyDescent="0.45">
      <c r="C60" s="5"/>
      <c r="F60" s="18">
        <f t="shared" si="0"/>
        <v>0</v>
      </c>
      <c r="G60" s="30" t="str">
        <f t="shared" si="6"/>
        <v>-</v>
      </c>
      <c r="H60" s="2" t="str">
        <f t="shared" si="7"/>
        <v>합격</v>
      </c>
      <c r="I60" s="41"/>
      <c r="J60" s="41"/>
      <c r="K60" s="34">
        <f t="shared" si="8"/>
        <v>0</v>
      </c>
      <c r="L60" s="41"/>
      <c r="M60" s="30" t="str">
        <f t="shared" si="9"/>
        <v>-</v>
      </c>
      <c r="N60" s="30" t="str">
        <f t="shared" si="10"/>
        <v>합격</v>
      </c>
      <c r="O60" s="2">
        <f t="shared" si="5"/>
        <v>0</v>
      </c>
      <c r="P60" s="2"/>
    </row>
    <row r="61" spans="3:16" x14ac:dyDescent="0.45">
      <c r="C61" s="5"/>
      <c r="F61" s="18">
        <f t="shared" si="0"/>
        <v>0</v>
      </c>
      <c r="G61" s="30" t="str">
        <f t="shared" si="6"/>
        <v>-</v>
      </c>
      <c r="H61" s="2" t="str">
        <f t="shared" si="7"/>
        <v>합격</v>
      </c>
      <c r="I61" s="41"/>
      <c r="J61" s="41"/>
      <c r="K61" s="34">
        <f t="shared" si="8"/>
        <v>0</v>
      </c>
      <c r="L61" s="41"/>
      <c r="M61" s="30" t="str">
        <f t="shared" si="9"/>
        <v>-</v>
      </c>
      <c r="N61" s="30" t="str">
        <f t="shared" si="10"/>
        <v>합격</v>
      </c>
      <c r="O61" s="2">
        <f t="shared" si="5"/>
        <v>0</v>
      </c>
      <c r="P61" s="2"/>
    </row>
    <row r="62" spans="3:16" x14ac:dyDescent="0.45">
      <c r="C62" s="5"/>
      <c r="F62" s="18">
        <f t="shared" si="0"/>
        <v>0</v>
      </c>
      <c r="G62" s="30" t="str">
        <f t="shared" si="6"/>
        <v>-</v>
      </c>
      <c r="H62" s="2" t="str">
        <f t="shared" si="7"/>
        <v>합격</v>
      </c>
      <c r="I62" s="41"/>
      <c r="J62" s="41"/>
      <c r="K62" s="34">
        <f t="shared" si="8"/>
        <v>0</v>
      </c>
      <c r="L62" s="41"/>
      <c r="M62" s="30" t="str">
        <f t="shared" si="9"/>
        <v>-</v>
      </c>
      <c r="N62" s="30" t="str">
        <f t="shared" si="10"/>
        <v>합격</v>
      </c>
      <c r="O62" s="2">
        <f t="shared" ref="O62:O93" si="11">A62</f>
        <v>0</v>
      </c>
      <c r="P62" s="2"/>
    </row>
    <row r="63" spans="3:16" x14ac:dyDescent="0.45">
      <c r="C63" s="5"/>
      <c r="F63" s="18">
        <f t="shared" si="0"/>
        <v>0</v>
      </c>
      <c r="G63" s="30" t="str">
        <f t="shared" si="6"/>
        <v>-</v>
      </c>
      <c r="H63" s="2" t="str">
        <f t="shared" si="7"/>
        <v>합격</v>
      </c>
      <c r="I63" s="41"/>
      <c r="J63" s="41"/>
      <c r="K63" s="34">
        <f t="shared" si="8"/>
        <v>0</v>
      </c>
      <c r="L63" s="41"/>
      <c r="M63" s="30" t="str">
        <f t="shared" si="9"/>
        <v>-</v>
      </c>
      <c r="N63" s="30" t="str">
        <f t="shared" si="10"/>
        <v>합격</v>
      </c>
      <c r="O63" s="2">
        <f t="shared" si="11"/>
        <v>0</v>
      </c>
      <c r="P63" s="2"/>
    </row>
    <row r="64" spans="3:16" x14ac:dyDescent="0.45">
      <c r="C64" s="5"/>
      <c r="F64" s="18">
        <f t="shared" si="0"/>
        <v>0</v>
      </c>
      <c r="G64" s="30" t="str">
        <f t="shared" si="6"/>
        <v>-</v>
      </c>
      <c r="H64" s="2" t="str">
        <f t="shared" si="7"/>
        <v>합격</v>
      </c>
      <c r="I64" s="41"/>
      <c r="J64" s="41"/>
      <c r="K64" s="34">
        <f t="shared" si="8"/>
        <v>0</v>
      </c>
      <c r="L64" s="41"/>
      <c r="M64" s="30" t="str">
        <f t="shared" si="9"/>
        <v>-</v>
      </c>
      <c r="N64" s="30" t="str">
        <f t="shared" si="10"/>
        <v>합격</v>
      </c>
      <c r="O64" s="2">
        <f t="shared" si="11"/>
        <v>0</v>
      </c>
      <c r="P64" s="2"/>
    </row>
    <row r="65" spans="3:16" x14ac:dyDescent="0.45">
      <c r="C65" s="5"/>
      <c r="F65" s="18">
        <f t="shared" si="0"/>
        <v>0</v>
      </c>
      <c r="G65" s="30" t="str">
        <f t="shared" si="6"/>
        <v>-</v>
      </c>
      <c r="H65" s="2" t="str">
        <f t="shared" si="7"/>
        <v>합격</v>
      </c>
      <c r="I65" s="41"/>
      <c r="J65" s="41"/>
      <c r="K65" s="34">
        <f t="shared" si="8"/>
        <v>0</v>
      </c>
      <c r="L65" s="41"/>
      <c r="M65" s="30" t="str">
        <f t="shared" si="9"/>
        <v>-</v>
      </c>
      <c r="N65" s="30" t="str">
        <f t="shared" si="10"/>
        <v>합격</v>
      </c>
      <c r="O65" s="2">
        <f t="shared" si="11"/>
        <v>0</v>
      </c>
      <c r="P65" s="2"/>
    </row>
    <row r="66" spans="3:16" x14ac:dyDescent="0.45">
      <c r="C66" s="5"/>
      <c r="F66" s="18">
        <f t="shared" si="0"/>
        <v>0</v>
      </c>
      <c r="G66" s="30" t="str">
        <f t="shared" si="6"/>
        <v>-</v>
      </c>
      <c r="H66" s="2" t="str">
        <f t="shared" si="7"/>
        <v>합격</v>
      </c>
      <c r="I66" s="41"/>
      <c r="J66" s="41"/>
      <c r="K66" s="34">
        <f t="shared" si="8"/>
        <v>0</v>
      </c>
      <c r="L66" s="41"/>
      <c r="M66" s="30" t="str">
        <f t="shared" si="9"/>
        <v>-</v>
      </c>
      <c r="N66" s="30" t="str">
        <f t="shared" si="10"/>
        <v>합격</v>
      </c>
      <c r="O66" s="2">
        <f t="shared" si="11"/>
        <v>0</v>
      </c>
      <c r="P66" s="2"/>
    </row>
    <row r="67" spans="3:16" x14ac:dyDescent="0.45">
      <c r="C67" s="5"/>
      <c r="F67" s="18">
        <f t="shared" si="0"/>
        <v>0</v>
      </c>
      <c r="G67" s="30" t="str">
        <f t="shared" si="6"/>
        <v>-</v>
      </c>
      <c r="H67" s="2" t="str">
        <f t="shared" si="7"/>
        <v>합격</v>
      </c>
      <c r="I67" s="41"/>
      <c r="J67" s="41"/>
      <c r="K67" s="34">
        <f t="shared" si="8"/>
        <v>0</v>
      </c>
      <c r="L67" s="41"/>
      <c r="M67" s="30" t="str">
        <f t="shared" si="9"/>
        <v>-</v>
      </c>
      <c r="N67" s="30" t="str">
        <f t="shared" si="10"/>
        <v>합격</v>
      </c>
      <c r="O67" s="2">
        <f t="shared" si="11"/>
        <v>0</v>
      </c>
      <c r="P67" s="2"/>
    </row>
    <row r="68" spans="3:16" x14ac:dyDescent="0.45">
      <c r="C68" s="5"/>
      <c r="F68" s="18">
        <f t="shared" si="0"/>
        <v>0</v>
      </c>
      <c r="G68" s="30" t="str">
        <f t="shared" si="6"/>
        <v>-</v>
      </c>
      <c r="H68" s="2" t="str">
        <f t="shared" si="7"/>
        <v>합격</v>
      </c>
      <c r="I68" s="41"/>
      <c r="J68" s="41"/>
      <c r="K68" s="34">
        <f t="shared" si="8"/>
        <v>0</v>
      </c>
      <c r="L68" s="41"/>
      <c r="M68" s="30" t="str">
        <f t="shared" si="9"/>
        <v>-</v>
      </c>
      <c r="N68" s="30" t="str">
        <f t="shared" si="10"/>
        <v>합격</v>
      </c>
      <c r="O68" s="2">
        <f t="shared" si="11"/>
        <v>0</v>
      </c>
      <c r="P68" s="2"/>
    </row>
    <row r="69" spans="3:16" x14ac:dyDescent="0.45">
      <c r="C69" s="5"/>
      <c r="F69" s="18">
        <f t="shared" si="0"/>
        <v>0</v>
      </c>
      <c r="G69" s="30" t="str">
        <f t="shared" si="6"/>
        <v>-</v>
      </c>
      <c r="H69" s="2" t="str">
        <f t="shared" si="7"/>
        <v>합격</v>
      </c>
      <c r="I69" s="41"/>
      <c r="J69" s="41"/>
      <c r="K69" s="34">
        <f t="shared" si="8"/>
        <v>0</v>
      </c>
      <c r="L69" s="41"/>
      <c r="M69" s="30" t="str">
        <f t="shared" si="9"/>
        <v>-</v>
      </c>
      <c r="N69" s="30" t="str">
        <f t="shared" si="10"/>
        <v>합격</v>
      </c>
      <c r="O69" s="2">
        <f t="shared" si="11"/>
        <v>0</v>
      </c>
      <c r="P69" s="2"/>
    </row>
    <row r="70" spans="3:16" x14ac:dyDescent="0.45">
      <c r="C70" s="5"/>
      <c r="F70" s="18">
        <f t="shared" si="0"/>
        <v>0</v>
      </c>
      <c r="G70" s="30" t="str">
        <f t="shared" si="6"/>
        <v>-</v>
      </c>
      <c r="H70" s="2" t="str">
        <f t="shared" si="7"/>
        <v>합격</v>
      </c>
      <c r="I70" s="41"/>
      <c r="J70" s="41"/>
      <c r="K70" s="34">
        <f t="shared" si="8"/>
        <v>0</v>
      </c>
      <c r="L70" s="41"/>
      <c r="M70" s="30" t="str">
        <f t="shared" si="9"/>
        <v>-</v>
      </c>
      <c r="N70" s="30" t="str">
        <f t="shared" si="10"/>
        <v>합격</v>
      </c>
      <c r="O70" s="2">
        <f t="shared" si="11"/>
        <v>0</v>
      </c>
      <c r="P70" s="2"/>
    </row>
    <row r="71" spans="3:16" x14ac:dyDescent="0.45">
      <c r="C71" s="5"/>
      <c r="F71" s="18">
        <f t="shared" ref="F71:F134" si="12">E71*60*0.001</f>
        <v>0</v>
      </c>
      <c r="G71" s="30" t="str">
        <f t="shared" si="6"/>
        <v>-</v>
      </c>
      <c r="H71" s="2" t="str">
        <f t="shared" si="7"/>
        <v>합격</v>
      </c>
      <c r="I71" s="41"/>
      <c r="J71" s="41"/>
      <c r="K71" s="34">
        <f t="shared" si="8"/>
        <v>0</v>
      </c>
      <c r="L71" s="41"/>
      <c r="M71" s="30" t="str">
        <f t="shared" si="9"/>
        <v>-</v>
      </c>
      <c r="N71" s="30" t="str">
        <f t="shared" si="10"/>
        <v>합격</v>
      </c>
      <c r="O71" s="2">
        <f t="shared" si="11"/>
        <v>0</v>
      </c>
      <c r="P71" s="2"/>
    </row>
    <row r="72" spans="3:16" x14ac:dyDescent="0.45">
      <c r="C72" s="5"/>
      <c r="F72" s="18">
        <f t="shared" si="12"/>
        <v>0</v>
      </c>
      <c r="G72" s="30" t="str">
        <f t="shared" si="6"/>
        <v>-</v>
      </c>
      <c r="H72" s="2" t="str">
        <f t="shared" si="7"/>
        <v>합격</v>
      </c>
      <c r="I72" s="41"/>
      <c r="J72" s="41"/>
      <c r="K72" s="34">
        <f t="shared" si="8"/>
        <v>0</v>
      </c>
      <c r="L72" s="41"/>
      <c r="M72" s="30" t="str">
        <f t="shared" si="9"/>
        <v>-</v>
      </c>
      <c r="N72" s="30" t="str">
        <f t="shared" si="10"/>
        <v>합격</v>
      </c>
      <c r="O72" s="2">
        <f t="shared" si="11"/>
        <v>0</v>
      </c>
      <c r="P72" s="2"/>
    </row>
    <row r="73" spans="3:16" x14ac:dyDescent="0.45">
      <c r="C73" s="5"/>
      <c r="F73" s="18">
        <f t="shared" si="12"/>
        <v>0</v>
      </c>
      <c r="G73" s="30" t="str">
        <f t="shared" si="6"/>
        <v>-</v>
      </c>
      <c r="H73" s="2" t="str">
        <f t="shared" si="7"/>
        <v>합격</v>
      </c>
      <c r="I73" s="41"/>
      <c r="J73" s="41"/>
      <c r="K73" s="34">
        <f t="shared" si="8"/>
        <v>0</v>
      </c>
      <c r="L73" s="41"/>
      <c r="M73" s="30" t="str">
        <f t="shared" si="9"/>
        <v>-</v>
      </c>
      <c r="N73" s="30" t="str">
        <f t="shared" si="10"/>
        <v>합격</v>
      </c>
      <c r="O73" s="2">
        <f t="shared" si="11"/>
        <v>0</v>
      </c>
      <c r="P73" s="2"/>
    </row>
    <row r="74" spans="3:16" x14ac:dyDescent="0.45">
      <c r="C74" s="5"/>
      <c r="F74" s="18">
        <f t="shared" si="12"/>
        <v>0</v>
      </c>
      <c r="G74" s="30" t="str">
        <f t="shared" si="6"/>
        <v>-</v>
      </c>
      <c r="H74" s="2" t="str">
        <f t="shared" si="7"/>
        <v>합격</v>
      </c>
      <c r="I74" s="41"/>
      <c r="J74" s="41"/>
      <c r="K74" s="34">
        <f t="shared" si="8"/>
        <v>0</v>
      </c>
      <c r="L74" s="41"/>
      <c r="M74" s="30" t="str">
        <f t="shared" si="9"/>
        <v>-</v>
      </c>
      <c r="N74" s="30" t="str">
        <f t="shared" si="10"/>
        <v>합격</v>
      </c>
      <c r="O74" s="2">
        <f t="shared" si="11"/>
        <v>0</v>
      </c>
      <c r="P74" s="2"/>
    </row>
    <row r="75" spans="3:16" x14ac:dyDescent="0.45">
      <c r="C75" s="5"/>
      <c r="F75" s="18">
        <f t="shared" si="12"/>
        <v>0</v>
      </c>
      <c r="G75" s="30" t="str">
        <f t="shared" si="6"/>
        <v>-</v>
      </c>
      <c r="H75" s="2" t="str">
        <f t="shared" si="7"/>
        <v>합격</v>
      </c>
      <c r="I75" s="41"/>
      <c r="J75" s="41"/>
      <c r="K75" s="34">
        <f t="shared" si="8"/>
        <v>0</v>
      </c>
      <c r="L75" s="41"/>
      <c r="M75" s="30" t="str">
        <f t="shared" si="9"/>
        <v>-</v>
      </c>
      <c r="N75" s="30" t="str">
        <f t="shared" si="10"/>
        <v>합격</v>
      </c>
      <c r="O75" s="2">
        <f t="shared" si="11"/>
        <v>0</v>
      </c>
      <c r="P75" s="2"/>
    </row>
    <row r="76" spans="3:16" x14ac:dyDescent="0.45">
      <c r="C76" s="5"/>
      <c r="F76" s="18">
        <f t="shared" si="12"/>
        <v>0</v>
      </c>
      <c r="G76" s="30" t="str">
        <f t="shared" si="6"/>
        <v>-</v>
      </c>
      <c r="H76" s="2" t="str">
        <f t="shared" si="7"/>
        <v>합격</v>
      </c>
      <c r="I76" s="41"/>
      <c r="J76" s="41"/>
      <c r="K76" s="34">
        <f t="shared" si="8"/>
        <v>0</v>
      </c>
      <c r="L76" s="41"/>
      <c r="M76" s="30" t="str">
        <f t="shared" si="9"/>
        <v>-</v>
      </c>
      <c r="N76" s="30" t="str">
        <f t="shared" si="10"/>
        <v>합격</v>
      </c>
      <c r="O76" s="2">
        <f t="shared" si="11"/>
        <v>0</v>
      </c>
      <c r="P76" s="2"/>
    </row>
    <row r="77" spans="3:16" x14ac:dyDescent="0.45">
      <c r="C77" s="5"/>
      <c r="F77" s="18">
        <f t="shared" si="12"/>
        <v>0</v>
      </c>
      <c r="G77" s="30" t="str">
        <f t="shared" si="6"/>
        <v>-</v>
      </c>
      <c r="H77" s="2" t="str">
        <f t="shared" si="7"/>
        <v>합격</v>
      </c>
      <c r="I77" s="41"/>
      <c r="J77" s="41"/>
      <c r="K77" s="34">
        <f t="shared" si="8"/>
        <v>0</v>
      </c>
      <c r="L77" s="41"/>
      <c r="M77" s="30" t="str">
        <f t="shared" si="9"/>
        <v>-</v>
      </c>
      <c r="N77" s="30" t="str">
        <f t="shared" si="10"/>
        <v>합격</v>
      </c>
      <c r="O77" s="2">
        <f t="shared" si="11"/>
        <v>0</v>
      </c>
      <c r="P77" s="2"/>
    </row>
    <row r="78" spans="3:16" x14ac:dyDescent="0.45">
      <c r="C78" s="5"/>
      <c r="F78" s="18">
        <f t="shared" si="12"/>
        <v>0</v>
      </c>
      <c r="G78" s="30" t="str">
        <f t="shared" si="6"/>
        <v>-</v>
      </c>
      <c r="H78" s="2" t="str">
        <f t="shared" si="7"/>
        <v>합격</v>
      </c>
      <c r="I78" s="41"/>
      <c r="J78" s="41"/>
      <c r="K78" s="34">
        <f t="shared" si="8"/>
        <v>0</v>
      </c>
      <c r="L78" s="41"/>
      <c r="M78" s="30" t="str">
        <f t="shared" si="9"/>
        <v>-</v>
      </c>
      <c r="N78" s="30" t="str">
        <f t="shared" si="10"/>
        <v>합격</v>
      </c>
      <c r="O78" s="2">
        <f t="shared" si="11"/>
        <v>0</v>
      </c>
      <c r="P78" s="2"/>
    </row>
    <row r="79" spans="3:16" x14ac:dyDescent="0.45">
      <c r="C79" s="5"/>
      <c r="F79" s="18">
        <f t="shared" si="12"/>
        <v>0</v>
      </c>
      <c r="G79" s="30" t="str">
        <f t="shared" si="6"/>
        <v>-</v>
      </c>
      <c r="H79" s="2" t="str">
        <f t="shared" si="7"/>
        <v>합격</v>
      </c>
      <c r="I79" s="41"/>
      <c r="J79" s="41"/>
      <c r="K79" s="34">
        <f t="shared" si="8"/>
        <v>0</v>
      </c>
      <c r="L79" s="41"/>
      <c r="M79" s="30" t="str">
        <f t="shared" si="9"/>
        <v>-</v>
      </c>
      <c r="N79" s="30" t="str">
        <f t="shared" si="10"/>
        <v>합격</v>
      </c>
      <c r="O79" s="2">
        <f t="shared" si="11"/>
        <v>0</v>
      </c>
      <c r="P79" s="2"/>
    </row>
    <row r="80" spans="3:16" x14ac:dyDescent="0.45">
      <c r="C80" s="5"/>
      <c r="F80" s="18">
        <f t="shared" si="12"/>
        <v>0</v>
      </c>
      <c r="G80" s="30" t="str">
        <f t="shared" si="6"/>
        <v>-</v>
      </c>
      <c r="H80" s="2" t="str">
        <f t="shared" si="7"/>
        <v>합격</v>
      </c>
      <c r="I80" s="41"/>
      <c r="J80" s="41"/>
      <c r="K80" s="34">
        <f t="shared" si="8"/>
        <v>0</v>
      </c>
      <c r="L80" s="41"/>
      <c r="M80" s="30" t="str">
        <f t="shared" si="9"/>
        <v>-</v>
      </c>
      <c r="N80" s="30" t="str">
        <f t="shared" si="10"/>
        <v>합격</v>
      </c>
      <c r="O80" s="2">
        <f t="shared" si="11"/>
        <v>0</v>
      </c>
      <c r="P80" s="2"/>
    </row>
    <row r="81" spans="3:16" x14ac:dyDescent="0.45">
      <c r="C81" s="5"/>
      <c r="F81" s="18">
        <f t="shared" si="12"/>
        <v>0</v>
      </c>
      <c r="G81" s="30" t="str">
        <f t="shared" si="6"/>
        <v>-</v>
      </c>
      <c r="H81" s="2" t="str">
        <f t="shared" si="7"/>
        <v>합격</v>
      </c>
      <c r="I81" s="41"/>
      <c r="J81" s="41"/>
      <c r="K81" s="34">
        <f t="shared" si="8"/>
        <v>0</v>
      </c>
      <c r="L81" s="41"/>
      <c r="M81" s="30" t="str">
        <f t="shared" si="9"/>
        <v>-</v>
      </c>
      <c r="N81" s="30" t="str">
        <f t="shared" si="10"/>
        <v>합격</v>
      </c>
      <c r="O81" s="2">
        <f t="shared" si="11"/>
        <v>0</v>
      </c>
      <c r="P81" s="2"/>
    </row>
    <row r="82" spans="3:16" x14ac:dyDescent="0.45">
      <c r="C82" s="5"/>
      <c r="F82" s="18">
        <f t="shared" si="12"/>
        <v>0</v>
      </c>
      <c r="G82" s="30" t="str">
        <f t="shared" si="6"/>
        <v>-</v>
      </c>
      <c r="H82" s="2" t="str">
        <f t="shared" si="7"/>
        <v>합격</v>
      </c>
      <c r="I82" s="41"/>
      <c r="J82" s="41"/>
      <c r="K82" s="34">
        <f t="shared" si="8"/>
        <v>0</v>
      </c>
      <c r="L82" s="41"/>
      <c r="M82" s="30" t="str">
        <f t="shared" si="9"/>
        <v>-</v>
      </c>
      <c r="N82" s="30" t="str">
        <f t="shared" si="10"/>
        <v>합격</v>
      </c>
      <c r="O82" s="2">
        <f t="shared" si="11"/>
        <v>0</v>
      </c>
      <c r="P82" s="2"/>
    </row>
    <row r="83" spans="3:16" x14ac:dyDescent="0.45">
      <c r="C83" s="5"/>
      <c r="F83" s="18">
        <f t="shared" si="12"/>
        <v>0</v>
      </c>
      <c r="G83" s="30" t="str">
        <f t="shared" si="6"/>
        <v>-</v>
      </c>
      <c r="H83" s="2" t="str">
        <f t="shared" si="7"/>
        <v>합격</v>
      </c>
      <c r="I83" s="41"/>
      <c r="J83" s="41"/>
      <c r="K83" s="34">
        <f t="shared" si="8"/>
        <v>0</v>
      </c>
      <c r="L83" s="41"/>
      <c r="M83" s="30" t="str">
        <f t="shared" si="9"/>
        <v>-</v>
      </c>
      <c r="N83" s="30" t="str">
        <f t="shared" si="10"/>
        <v>합격</v>
      </c>
      <c r="O83" s="2">
        <f t="shared" si="11"/>
        <v>0</v>
      </c>
      <c r="P83" s="2"/>
    </row>
    <row r="84" spans="3:16" x14ac:dyDescent="0.45">
      <c r="C84" s="5"/>
      <c r="F84" s="18">
        <f t="shared" si="12"/>
        <v>0</v>
      </c>
      <c r="G84" s="30" t="str">
        <f t="shared" si="6"/>
        <v>-</v>
      </c>
      <c r="H84" s="2" t="str">
        <f t="shared" si="7"/>
        <v>합격</v>
      </c>
      <c r="I84" s="41"/>
      <c r="J84" s="41"/>
      <c r="K84" s="34">
        <f t="shared" si="8"/>
        <v>0</v>
      </c>
      <c r="L84" s="41"/>
      <c r="M84" s="30" t="str">
        <f t="shared" si="9"/>
        <v>-</v>
      </c>
      <c r="N84" s="30" t="str">
        <f t="shared" si="10"/>
        <v>합격</v>
      </c>
      <c r="O84" s="2">
        <f t="shared" si="11"/>
        <v>0</v>
      </c>
      <c r="P84" s="2"/>
    </row>
    <row r="85" spans="3:16" x14ac:dyDescent="0.45">
      <c r="C85" s="5"/>
      <c r="F85" s="18">
        <f t="shared" si="12"/>
        <v>0</v>
      </c>
      <c r="G85" s="30" t="str">
        <f t="shared" si="6"/>
        <v>-</v>
      </c>
      <c r="H85" s="2" t="str">
        <f t="shared" si="7"/>
        <v>합격</v>
      </c>
      <c r="I85" s="41"/>
      <c r="J85" s="41"/>
      <c r="K85" s="34">
        <f t="shared" si="8"/>
        <v>0</v>
      </c>
      <c r="L85" s="41"/>
      <c r="M85" s="30" t="str">
        <f t="shared" si="9"/>
        <v>-</v>
      </c>
      <c r="N85" s="30" t="str">
        <f t="shared" si="10"/>
        <v>합격</v>
      </c>
      <c r="O85" s="2">
        <f t="shared" si="11"/>
        <v>0</v>
      </c>
      <c r="P85" s="2"/>
    </row>
    <row r="86" spans="3:16" x14ac:dyDescent="0.45">
      <c r="C86" s="5"/>
      <c r="F86" s="18">
        <f t="shared" si="12"/>
        <v>0</v>
      </c>
      <c r="G86" s="30" t="str">
        <f t="shared" si="6"/>
        <v>-</v>
      </c>
      <c r="H86" s="2" t="str">
        <f t="shared" si="7"/>
        <v>합격</v>
      </c>
      <c r="I86" s="41"/>
      <c r="J86" s="41"/>
      <c r="K86" s="34">
        <f t="shared" si="8"/>
        <v>0</v>
      </c>
      <c r="L86" s="41"/>
      <c r="M86" s="30" t="str">
        <f t="shared" si="9"/>
        <v>-</v>
      </c>
      <c r="N86" s="30" t="str">
        <f t="shared" si="10"/>
        <v>합격</v>
      </c>
      <c r="O86" s="2">
        <f t="shared" si="11"/>
        <v>0</v>
      </c>
      <c r="P86" s="2"/>
    </row>
    <row r="87" spans="3:16" x14ac:dyDescent="0.45">
      <c r="C87" s="5"/>
      <c r="F87" s="18">
        <f t="shared" si="12"/>
        <v>0</v>
      </c>
      <c r="G87" s="30" t="str">
        <f t="shared" si="6"/>
        <v>-</v>
      </c>
      <c r="H87" s="2" t="str">
        <f t="shared" si="7"/>
        <v>합격</v>
      </c>
      <c r="I87" s="41"/>
      <c r="J87" s="41"/>
      <c r="K87" s="34">
        <f t="shared" si="8"/>
        <v>0</v>
      </c>
      <c r="L87" s="41"/>
      <c r="M87" s="30" t="str">
        <f t="shared" si="9"/>
        <v>-</v>
      </c>
      <c r="N87" s="30" t="str">
        <f t="shared" si="10"/>
        <v>합격</v>
      </c>
      <c r="O87" s="2">
        <f t="shared" si="11"/>
        <v>0</v>
      </c>
      <c r="P87" s="2"/>
    </row>
    <row r="88" spans="3:16" x14ac:dyDescent="0.45">
      <c r="C88" s="5"/>
      <c r="F88" s="18">
        <f t="shared" si="12"/>
        <v>0</v>
      </c>
      <c r="G88" s="30" t="str">
        <f t="shared" si="6"/>
        <v>-</v>
      </c>
      <c r="H88" s="2" t="str">
        <f t="shared" si="7"/>
        <v>합격</v>
      </c>
      <c r="I88" s="41"/>
      <c r="J88" s="41"/>
      <c r="K88" s="34">
        <f t="shared" si="8"/>
        <v>0</v>
      </c>
      <c r="L88" s="41"/>
      <c r="M88" s="30" t="str">
        <f t="shared" si="9"/>
        <v>-</v>
      </c>
      <c r="N88" s="30" t="str">
        <f t="shared" si="10"/>
        <v>합격</v>
      </c>
      <c r="O88" s="2">
        <f t="shared" si="11"/>
        <v>0</v>
      </c>
      <c r="P88" s="2"/>
    </row>
    <row r="89" spans="3:16" x14ac:dyDescent="0.45">
      <c r="C89" s="5"/>
      <c r="F89" s="18">
        <f t="shared" si="12"/>
        <v>0</v>
      </c>
      <c r="G89" s="30" t="str">
        <f t="shared" si="6"/>
        <v>-</v>
      </c>
      <c r="H89" s="2" t="str">
        <f t="shared" si="7"/>
        <v>합격</v>
      </c>
      <c r="I89" s="41"/>
      <c r="J89" s="41"/>
      <c r="K89" s="34">
        <f t="shared" si="8"/>
        <v>0</v>
      </c>
      <c r="L89" s="41"/>
      <c r="M89" s="30" t="str">
        <f t="shared" si="9"/>
        <v>-</v>
      </c>
      <c r="N89" s="30" t="str">
        <f t="shared" si="10"/>
        <v>합격</v>
      </c>
      <c r="O89" s="2">
        <f t="shared" si="11"/>
        <v>0</v>
      </c>
      <c r="P89" s="2"/>
    </row>
    <row r="90" spans="3:16" x14ac:dyDescent="0.45">
      <c r="C90" s="5"/>
      <c r="F90" s="18">
        <f t="shared" si="12"/>
        <v>0</v>
      </c>
      <c r="G90" s="30" t="str">
        <f t="shared" si="6"/>
        <v>-</v>
      </c>
      <c r="H90" s="2" t="str">
        <f t="shared" si="7"/>
        <v>합격</v>
      </c>
      <c r="I90" s="41"/>
      <c r="J90" s="41"/>
      <c r="K90" s="34">
        <f t="shared" si="8"/>
        <v>0</v>
      </c>
      <c r="L90" s="41"/>
      <c r="M90" s="30" t="str">
        <f t="shared" si="9"/>
        <v>-</v>
      </c>
      <c r="N90" s="30" t="str">
        <f t="shared" si="10"/>
        <v>합격</v>
      </c>
      <c r="O90" s="2">
        <f t="shared" si="11"/>
        <v>0</v>
      </c>
      <c r="P90" s="2"/>
    </row>
    <row r="91" spans="3:16" x14ac:dyDescent="0.45">
      <c r="C91" s="5"/>
      <c r="F91" s="18">
        <f t="shared" si="12"/>
        <v>0</v>
      </c>
      <c r="G91" s="30" t="str">
        <f t="shared" si="6"/>
        <v>-</v>
      </c>
      <c r="H91" s="2" t="str">
        <f t="shared" si="7"/>
        <v>합격</v>
      </c>
      <c r="I91" s="41"/>
      <c r="J91" s="41"/>
      <c r="K91" s="34">
        <f t="shared" si="8"/>
        <v>0</v>
      </c>
      <c r="L91" s="41"/>
      <c r="M91" s="30" t="str">
        <f t="shared" si="9"/>
        <v>-</v>
      </c>
      <c r="N91" s="30" t="str">
        <f t="shared" si="10"/>
        <v>합격</v>
      </c>
      <c r="O91" s="2">
        <f t="shared" si="11"/>
        <v>0</v>
      </c>
      <c r="P91" s="2"/>
    </row>
    <row r="92" spans="3:16" x14ac:dyDescent="0.45">
      <c r="C92" s="5"/>
      <c r="F92" s="18">
        <f t="shared" si="12"/>
        <v>0</v>
      </c>
      <c r="G92" s="30" t="str">
        <f t="shared" si="6"/>
        <v>-</v>
      </c>
      <c r="H92" s="2" t="str">
        <f t="shared" si="7"/>
        <v>합격</v>
      </c>
      <c r="I92" s="41"/>
      <c r="J92" s="41"/>
      <c r="K92" s="34">
        <f t="shared" si="8"/>
        <v>0</v>
      </c>
      <c r="L92" s="41"/>
      <c r="M92" s="30" t="str">
        <f t="shared" si="9"/>
        <v>-</v>
      </c>
      <c r="N92" s="30" t="str">
        <f t="shared" si="10"/>
        <v>합격</v>
      </c>
      <c r="O92" s="2">
        <f t="shared" si="11"/>
        <v>0</v>
      </c>
      <c r="P92" s="2"/>
    </row>
    <row r="93" spans="3:16" x14ac:dyDescent="0.45">
      <c r="C93" s="5"/>
      <c r="F93" s="18">
        <f t="shared" si="12"/>
        <v>0</v>
      </c>
      <c r="G93" s="30" t="str">
        <f t="shared" si="6"/>
        <v>-</v>
      </c>
      <c r="H93" s="2" t="str">
        <f t="shared" si="7"/>
        <v>합격</v>
      </c>
      <c r="I93" s="41"/>
      <c r="J93" s="41"/>
      <c r="K93" s="34">
        <f t="shared" si="8"/>
        <v>0</v>
      </c>
      <c r="L93" s="41"/>
      <c r="M93" s="30" t="str">
        <f t="shared" si="9"/>
        <v>-</v>
      </c>
      <c r="N93" s="30" t="str">
        <f t="shared" si="10"/>
        <v>합격</v>
      </c>
      <c r="O93" s="2">
        <f t="shared" si="11"/>
        <v>0</v>
      </c>
      <c r="P93" s="2"/>
    </row>
    <row r="94" spans="3:16" x14ac:dyDescent="0.45">
      <c r="C94" s="5"/>
      <c r="F94" s="18">
        <f t="shared" si="12"/>
        <v>0</v>
      </c>
      <c r="G94" s="30" t="str">
        <f t="shared" si="6"/>
        <v>-</v>
      </c>
      <c r="H94" s="2" t="str">
        <f t="shared" si="7"/>
        <v>합격</v>
      </c>
      <c r="I94" s="41"/>
      <c r="J94" s="41"/>
      <c r="K94" s="34">
        <f t="shared" si="8"/>
        <v>0</v>
      </c>
      <c r="L94" s="41"/>
      <c r="M94" s="30" t="str">
        <f t="shared" si="9"/>
        <v>-</v>
      </c>
      <c r="N94" s="30" t="str">
        <f t="shared" si="10"/>
        <v>합격</v>
      </c>
      <c r="O94" s="2">
        <f t="shared" ref="O94:O125" si="13">A94</f>
        <v>0</v>
      </c>
      <c r="P94" s="2"/>
    </row>
    <row r="95" spans="3:16" x14ac:dyDescent="0.45">
      <c r="C95" s="5"/>
      <c r="F95" s="18">
        <f t="shared" si="12"/>
        <v>0</v>
      </c>
      <c r="G95" s="30" t="str">
        <f t="shared" si="6"/>
        <v>-</v>
      </c>
      <c r="H95" s="2" t="str">
        <f t="shared" si="7"/>
        <v>합격</v>
      </c>
      <c r="I95" s="41"/>
      <c r="J95" s="41"/>
      <c r="K95" s="34">
        <f t="shared" si="8"/>
        <v>0</v>
      </c>
      <c r="L95" s="41"/>
      <c r="M95" s="30" t="str">
        <f t="shared" si="9"/>
        <v>-</v>
      </c>
      <c r="N95" s="30" t="str">
        <f t="shared" si="10"/>
        <v>합격</v>
      </c>
      <c r="O95" s="2">
        <f t="shared" si="13"/>
        <v>0</v>
      </c>
      <c r="P95" s="2"/>
    </row>
    <row r="96" spans="3:16" x14ac:dyDescent="0.45">
      <c r="C96" s="5"/>
      <c r="F96" s="18">
        <f t="shared" si="12"/>
        <v>0</v>
      </c>
      <c r="G96" s="30" t="str">
        <f t="shared" ref="G96:G159" si="14">IFERROR(C96/F96,"-")</f>
        <v>-</v>
      </c>
      <c r="H96" s="2" t="str">
        <f t="shared" ref="H96:H159" si="15">IF(OR(C96&lt;F96*0.8,C96&gt;F96*1.2),"불합격","합격")</f>
        <v>합격</v>
      </c>
      <c r="I96" s="41"/>
      <c r="J96" s="41"/>
      <c r="K96" s="34">
        <f t="shared" ref="K96:K159" si="16">(J96-I96)*10</f>
        <v>0</v>
      </c>
      <c r="L96" s="41"/>
      <c r="M96" s="30" t="str">
        <f t="shared" ref="M96:M159" si="17">IFERROR(K96/L96,"-")</f>
        <v>-</v>
      </c>
      <c r="N96" s="30" t="str">
        <f t="shared" ref="N96:N159" si="18">IF(OR(K96&lt;L96*0.8,K96&gt;L96*1.2),"불합격","합격")</f>
        <v>합격</v>
      </c>
      <c r="O96" s="2">
        <f t="shared" si="13"/>
        <v>0</v>
      </c>
      <c r="P96" s="2"/>
    </row>
    <row r="97" spans="3:16" x14ac:dyDescent="0.45">
      <c r="C97" s="5"/>
      <c r="F97" s="18">
        <f t="shared" si="12"/>
        <v>0</v>
      </c>
      <c r="G97" s="30" t="str">
        <f t="shared" si="14"/>
        <v>-</v>
      </c>
      <c r="H97" s="2" t="str">
        <f t="shared" si="15"/>
        <v>합격</v>
      </c>
      <c r="I97" s="41"/>
      <c r="J97" s="41"/>
      <c r="K97" s="34">
        <f t="shared" si="16"/>
        <v>0</v>
      </c>
      <c r="L97" s="41"/>
      <c r="M97" s="30" t="str">
        <f t="shared" si="17"/>
        <v>-</v>
      </c>
      <c r="N97" s="30" t="str">
        <f t="shared" si="18"/>
        <v>합격</v>
      </c>
      <c r="O97" s="2">
        <f t="shared" si="13"/>
        <v>0</v>
      </c>
      <c r="P97" s="2"/>
    </row>
    <row r="98" spans="3:16" x14ac:dyDescent="0.45">
      <c r="C98" s="5"/>
      <c r="F98" s="18">
        <f t="shared" si="12"/>
        <v>0</v>
      </c>
      <c r="G98" s="30" t="str">
        <f t="shared" si="14"/>
        <v>-</v>
      </c>
      <c r="H98" s="2" t="str">
        <f t="shared" si="15"/>
        <v>합격</v>
      </c>
      <c r="I98" s="41"/>
      <c r="J98" s="41"/>
      <c r="K98" s="34">
        <f t="shared" si="16"/>
        <v>0</v>
      </c>
      <c r="L98" s="41"/>
      <c r="M98" s="30" t="str">
        <f t="shared" si="17"/>
        <v>-</v>
      </c>
      <c r="N98" s="30" t="str">
        <f t="shared" si="18"/>
        <v>합격</v>
      </c>
      <c r="O98" s="2">
        <f t="shared" si="13"/>
        <v>0</v>
      </c>
      <c r="P98" s="2"/>
    </row>
    <row r="99" spans="3:16" x14ac:dyDescent="0.45">
      <c r="C99" s="5"/>
      <c r="F99" s="18">
        <f t="shared" si="12"/>
        <v>0</v>
      </c>
      <c r="G99" s="30" t="str">
        <f t="shared" si="14"/>
        <v>-</v>
      </c>
      <c r="H99" s="2" t="str">
        <f t="shared" si="15"/>
        <v>합격</v>
      </c>
      <c r="I99" s="41"/>
      <c r="J99" s="41"/>
      <c r="K99" s="34">
        <f t="shared" si="16"/>
        <v>0</v>
      </c>
      <c r="L99" s="41"/>
      <c r="M99" s="30" t="str">
        <f t="shared" si="17"/>
        <v>-</v>
      </c>
      <c r="N99" s="30" t="str">
        <f t="shared" si="18"/>
        <v>합격</v>
      </c>
      <c r="O99" s="2">
        <f t="shared" si="13"/>
        <v>0</v>
      </c>
      <c r="P99" s="2"/>
    </row>
    <row r="100" spans="3:16" x14ac:dyDescent="0.45">
      <c r="C100" s="5"/>
      <c r="F100" s="18">
        <f t="shared" si="12"/>
        <v>0</v>
      </c>
      <c r="G100" s="30" t="str">
        <f t="shared" si="14"/>
        <v>-</v>
      </c>
      <c r="H100" s="2" t="str">
        <f t="shared" si="15"/>
        <v>합격</v>
      </c>
      <c r="I100" s="41"/>
      <c r="J100" s="41"/>
      <c r="K100" s="34">
        <f t="shared" si="16"/>
        <v>0</v>
      </c>
      <c r="L100" s="41"/>
      <c r="M100" s="30" t="str">
        <f t="shared" si="17"/>
        <v>-</v>
      </c>
      <c r="N100" s="30" t="str">
        <f t="shared" si="18"/>
        <v>합격</v>
      </c>
      <c r="O100" s="2">
        <f t="shared" si="13"/>
        <v>0</v>
      </c>
      <c r="P100" s="2"/>
    </row>
    <row r="101" spans="3:16" x14ac:dyDescent="0.45">
      <c r="C101" s="5"/>
      <c r="F101" s="18">
        <f t="shared" si="12"/>
        <v>0</v>
      </c>
      <c r="G101" s="30" t="str">
        <f t="shared" si="14"/>
        <v>-</v>
      </c>
      <c r="H101" s="2" t="str">
        <f t="shared" si="15"/>
        <v>합격</v>
      </c>
      <c r="I101" s="41"/>
      <c r="J101" s="41"/>
      <c r="K101" s="34">
        <f t="shared" si="16"/>
        <v>0</v>
      </c>
      <c r="L101" s="41"/>
      <c r="M101" s="30" t="str">
        <f t="shared" si="17"/>
        <v>-</v>
      </c>
      <c r="N101" s="30" t="str">
        <f t="shared" si="18"/>
        <v>합격</v>
      </c>
      <c r="O101" s="2">
        <f t="shared" si="13"/>
        <v>0</v>
      </c>
      <c r="P101" s="2"/>
    </row>
    <row r="102" spans="3:16" x14ac:dyDescent="0.45">
      <c r="C102" s="5"/>
      <c r="F102" s="18">
        <f t="shared" si="12"/>
        <v>0</v>
      </c>
      <c r="G102" s="30" t="str">
        <f t="shared" si="14"/>
        <v>-</v>
      </c>
      <c r="H102" s="2" t="str">
        <f t="shared" si="15"/>
        <v>합격</v>
      </c>
      <c r="I102" s="41"/>
      <c r="J102" s="41"/>
      <c r="K102" s="34">
        <f t="shared" si="16"/>
        <v>0</v>
      </c>
      <c r="L102" s="41"/>
      <c r="M102" s="30" t="str">
        <f t="shared" si="17"/>
        <v>-</v>
      </c>
      <c r="N102" s="30" t="str">
        <f t="shared" si="18"/>
        <v>합격</v>
      </c>
      <c r="O102" s="2">
        <f t="shared" si="13"/>
        <v>0</v>
      </c>
      <c r="P102" s="2"/>
    </row>
    <row r="103" spans="3:16" x14ac:dyDescent="0.45">
      <c r="C103" s="5"/>
      <c r="F103" s="18">
        <f t="shared" si="12"/>
        <v>0</v>
      </c>
      <c r="G103" s="30" t="str">
        <f t="shared" si="14"/>
        <v>-</v>
      </c>
      <c r="H103" s="2" t="str">
        <f t="shared" si="15"/>
        <v>합격</v>
      </c>
      <c r="I103" s="41"/>
      <c r="J103" s="41"/>
      <c r="K103" s="34">
        <f t="shared" si="16"/>
        <v>0</v>
      </c>
      <c r="L103" s="41"/>
      <c r="M103" s="30" t="str">
        <f t="shared" si="17"/>
        <v>-</v>
      </c>
      <c r="N103" s="30" t="str">
        <f t="shared" si="18"/>
        <v>합격</v>
      </c>
      <c r="O103" s="2">
        <f t="shared" si="13"/>
        <v>0</v>
      </c>
      <c r="P103" s="2"/>
    </row>
    <row r="104" spans="3:16" x14ac:dyDescent="0.45">
      <c r="C104" s="5"/>
      <c r="F104" s="18">
        <f t="shared" si="12"/>
        <v>0</v>
      </c>
      <c r="G104" s="30" t="str">
        <f t="shared" si="14"/>
        <v>-</v>
      </c>
      <c r="H104" s="2" t="str">
        <f t="shared" si="15"/>
        <v>합격</v>
      </c>
      <c r="I104" s="41"/>
      <c r="J104" s="41"/>
      <c r="K104" s="34">
        <f t="shared" si="16"/>
        <v>0</v>
      </c>
      <c r="L104" s="41"/>
      <c r="M104" s="30" t="str">
        <f t="shared" si="17"/>
        <v>-</v>
      </c>
      <c r="N104" s="30" t="str">
        <f t="shared" si="18"/>
        <v>합격</v>
      </c>
      <c r="O104" s="2">
        <f t="shared" si="13"/>
        <v>0</v>
      </c>
      <c r="P104" s="2"/>
    </row>
    <row r="105" spans="3:16" x14ac:dyDescent="0.45">
      <c r="C105" s="5"/>
      <c r="F105" s="18">
        <f t="shared" si="12"/>
        <v>0</v>
      </c>
      <c r="G105" s="30" t="str">
        <f t="shared" si="14"/>
        <v>-</v>
      </c>
      <c r="H105" s="2" t="str">
        <f t="shared" si="15"/>
        <v>합격</v>
      </c>
      <c r="I105" s="41"/>
      <c r="J105" s="41"/>
      <c r="K105" s="34">
        <f t="shared" si="16"/>
        <v>0</v>
      </c>
      <c r="L105" s="41"/>
      <c r="M105" s="30" t="str">
        <f t="shared" si="17"/>
        <v>-</v>
      </c>
      <c r="N105" s="30" t="str">
        <f t="shared" si="18"/>
        <v>합격</v>
      </c>
      <c r="O105" s="2">
        <f t="shared" si="13"/>
        <v>0</v>
      </c>
      <c r="P105" s="2"/>
    </row>
    <row r="106" spans="3:16" x14ac:dyDescent="0.45">
      <c r="C106" s="5"/>
      <c r="F106" s="18">
        <f t="shared" si="12"/>
        <v>0</v>
      </c>
      <c r="G106" s="30" t="str">
        <f t="shared" si="14"/>
        <v>-</v>
      </c>
      <c r="H106" s="2" t="str">
        <f t="shared" si="15"/>
        <v>합격</v>
      </c>
      <c r="I106" s="41"/>
      <c r="J106" s="41"/>
      <c r="K106" s="34">
        <f t="shared" si="16"/>
        <v>0</v>
      </c>
      <c r="L106" s="41"/>
      <c r="M106" s="30" t="str">
        <f t="shared" si="17"/>
        <v>-</v>
      </c>
      <c r="N106" s="30" t="str">
        <f t="shared" si="18"/>
        <v>합격</v>
      </c>
      <c r="O106" s="2">
        <f t="shared" si="13"/>
        <v>0</v>
      </c>
      <c r="P106" s="2"/>
    </row>
    <row r="107" spans="3:16" x14ac:dyDescent="0.45">
      <c r="C107" s="5"/>
      <c r="F107" s="18">
        <f t="shared" si="12"/>
        <v>0</v>
      </c>
      <c r="G107" s="30" t="str">
        <f t="shared" si="14"/>
        <v>-</v>
      </c>
      <c r="H107" s="2" t="str">
        <f t="shared" si="15"/>
        <v>합격</v>
      </c>
      <c r="I107" s="41"/>
      <c r="J107" s="41"/>
      <c r="K107" s="34">
        <f t="shared" si="16"/>
        <v>0</v>
      </c>
      <c r="L107" s="41"/>
      <c r="M107" s="30" t="str">
        <f t="shared" si="17"/>
        <v>-</v>
      </c>
      <c r="N107" s="30" t="str">
        <f t="shared" si="18"/>
        <v>합격</v>
      </c>
      <c r="O107" s="2">
        <f t="shared" si="13"/>
        <v>0</v>
      </c>
      <c r="P107" s="2"/>
    </row>
    <row r="108" spans="3:16" x14ac:dyDescent="0.45">
      <c r="C108" s="5"/>
      <c r="F108" s="18">
        <f t="shared" si="12"/>
        <v>0</v>
      </c>
      <c r="G108" s="30" t="str">
        <f t="shared" si="14"/>
        <v>-</v>
      </c>
      <c r="H108" s="2" t="str">
        <f t="shared" si="15"/>
        <v>합격</v>
      </c>
      <c r="I108" s="41"/>
      <c r="J108" s="41"/>
      <c r="K108" s="34">
        <f t="shared" si="16"/>
        <v>0</v>
      </c>
      <c r="L108" s="41"/>
      <c r="M108" s="30" t="str">
        <f t="shared" si="17"/>
        <v>-</v>
      </c>
      <c r="N108" s="30" t="str">
        <f t="shared" si="18"/>
        <v>합격</v>
      </c>
      <c r="O108" s="2">
        <f t="shared" si="13"/>
        <v>0</v>
      </c>
      <c r="P108" s="2"/>
    </row>
    <row r="109" spans="3:16" x14ac:dyDescent="0.45">
      <c r="C109" s="5"/>
      <c r="F109" s="18">
        <f t="shared" si="12"/>
        <v>0</v>
      </c>
      <c r="G109" s="30" t="str">
        <f t="shared" si="14"/>
        <v>-</v>
      </c>
      <c r="H109" s="2" t="str">
        <f t="shared" si="15"/>
        <v>합격</v>
      </c>
      <c r="I109" s="41"/>
      <c r="J109" s="41"/>
      <c r="K109" s="34">
        <f t="shared" si="16"/>
        <v>0</v>
      </c>
      <c r="L109" s="41"/>
      <c r="M109" s="30" t="str">
        <f t="shared" si="17"/>
        <v>-</v>
      </c>
      <c r="N109" s="30" t="str">
        <f t="shared" si="18"/>
        <v>합격</v>
      </c>
      <c r="O109" s="2">
        <f t="shared" si="13"/>
        <v>0</v>
      </c>
      <c r="P109" s="2"/>
    </row>
    <row r="110" spans="3:16" x14ac:dyDescent="0.45">
      <c r="C110" s="5"/>
      <c r="F110" s="18">
        <f t="shared" si="12"/>
        <v>0</v>
      </c>
      <c r="G110" s="30" t="str">
        <f t="shared" si="14"/>
        <v>-</v>
      </c>
      <c r="H110" s="2" t="str">
        <f t="shared" si="15"/>
        <v>합격</v>
      </c>
      <c r="I110" s="41"/>
      <c r="J110" s="41"/>
      <c r="K110" s="34">
        <f t="shared" si="16"/>
        <v>0</v>
      </c>
      <c r="L110" s="41"/>
      <c r="M110" s="30" t="str">
        <f t="shared" si="17"/>
        <v>-</v>
      </c>
      <c r="N110" s="30" t="str">
        <f t="shared" si="18"/>
        <v>합격</v>
      </c>
      <c r="O110" s="2">
        <f t="shared" si="13"/>
        <v>0</v>
      </c>
      <c r="P110" s="2"/>
    </row>
    <row r="111" spans="3:16" x14ac:dyDescent="0.45">
      <c r="C111" s="5"/>
      <c r="F111" s="18">
        <f t="shared" si="12"/>
        <v>0</v>
      </c>
      <c r="G111" s="30" t="str">
        <f t="shared" si="14"/>
        <v>-</v>
      </c>
      <c r="H111" s="2" t="str">
        <f t="shared" si="15"/>
        <v>합격</v>
      </c>
      <c r="I111" s="41"/>
      <c r="J111" s="41"/>
      <c r="K111" s="34">
        <f t="shared" si="16"/>
        <v>0</v>
      </c>
      <c r="L111" s="41"/>
      <c r="M111" s="30" t="str">
        <f t="shared" si="17"/>
        <v>-</v>
      </c>
      <c r="N111" s="30" t="str">
        <f t="shared" si="18"/>
        <v>합격</v>
      </c>
      <c r="O111" s="2">
        <f t="shared" si="13"/>
        <v>0</v>
      </c>
      <c r="P111" s="2"/>
    </row>
    <row r="112" spans="3:16" x14ac:dyDescent="0.45">
      <c r="C112" s="5"/>
      <c r="F112" s="18">
        <f t="shared" si="12"/>
        <v>0</v>
      </c>
      <c r="G112" s="30" t="str">
        <f t="shared" si="14"/>
        <v>-</v>
      </c>
      <c r="H112" s="2" t="str">
        <f t="shared" si="15"/>
        <v>합격</v>
      </c>
      <c r="I112" s="41"/>
      <c r="J112" s="41"/>
      <c r="K112" s="34">
        <f t="shared" si="16"/>
        <v>0</v>
      </c>
      <c r="L112" s="41"/>
      <c r="M112" s="30" t="str">
        <f t="shared" si="17"/>
        <v>-</v>
      </c>
      <c r="N112" s="30" t="str">
        <f t="shared" si="18"/>
        <v>합격</v>
      </c>
      <c r="O112" s="2">
        <f t="shared" si="13"/>
        <v>0</v>
      </c>
      <c r="P112" s="2"/>
    </row>
    <row r="113" spans="3:16" x14ac:dyDescent="0.45">
      <c r="C113" s="5"/>
      <c r="F113" s="18">
        <f t="shared" si="12"/>
        <v>0</v>
      </c>
      <c r="G113" s="30" t="str">
        <f t="shared" si="14"/>
        <v>-</v>
      </c>
      <c r="H113" s="2" t="str">
        <f t="shared" si="15"/>
        <v>합격</v>
      </c>
      <c r="I113" s="41"/>
      <c r="J113" s="41"/>
      <c r="K113" s="34">
        <f t="shared" si="16"/>
        <v>0</v>
      </c>
      <c r="L113" s="41"/>
      <c r="M113" s="30" t="str">
        <f t="shared" si="17"/>
        <v>-</v>
      </c>
      <c r="N113" s="30" t="str">
        <f t="shared" si="18"/>
        <v>합격</v>
      </c>
      <c r="O113" s="2">
        <f t="shared" si="13"/>
        <v>0</v>
      </c>
      <c r="P113" s="2"/>
    </row>
    <row r="114" spans="3:16" x14ac:dyDescent="0.45">
      <c r="C114" s="5"/>
      <c r="F114" s="18">
        <f t="shared" si="12"/>
        <v>0</v>
      </c>
      <c r="G114" s="30" t="str">
        <f t="shared" si="14"/>
        <v>-</v>
      </c>
      <c r="H114" s="2" t="str">
        <f t="shared" si="15"/>
        <v>합격</v>
      </c>
      <c r="I114" s="41"/>
      <c r="J114" s="41"/>
      <c r="K114" s="34">
        <f t="shared" si="16"/>
        <v>0</v>
      </c>
      <c r="L114" s="41"/>
      <c r="M114" s="30" t="str">
        <f t="shared" si="17"/>
        <v>-</v>
      </c>
      <c r="N114" s="30" t="str">
        <f t="shared" si="18"/>
        <v>합격</v>
      </c>
      <c r="O114" s="2">
        <f t="shared" si="13"/>
        <v>0</v>
      </c>
      <c r="P114" s="2"/>
    </row>
    <row r="115" spans="3:16" x14ac:dyDescent="0.45">
      <c r="C115" s="5"/>
      <c r="F115" s="18">
        <f t="shared" si="12"/>
        <v>0</v>
      </c>
      <c r="G115" s="30" t="str">
        <f t="shared" si="14"/>
        <v>-</v>
      </c>
      <c r="H115" s="2" t="str">
        <f t="shared" si="15"/>
        <v>합격</v>
      </c>
      <c r="I115" s="41"/>
      <c r="J115" s="41"/>
      <c r="K115" s="34">
        <f t="shared" si="16"/>
        <v>0</v>
      </c>
      <c r="L115" s="41"/>
      <c r="M115" s="30" t="str">
        <f t="shared" si="17"/>
        <v>-</v>
      </c>
      <c r="N115" s="30" t="str">
        <f t="shared" si="18"/>
        <v>합격</v>
      </c>
      <c r="O115" s="2">
        <f t="shared" si="13"/>
        <v>0</v>
      </c>
      <c r="P115" s="2"/>
    </row>
    <row r="116" spans="3:16" x14ac:dyDescent="0.45">
      <c r="C116" s="5"/>
      <c r="F116" s="18">
        <f t="shared" si="12"/>
        <v>0</v>
      </c>
      <c r="G116" s="30" t="str">
        <f t="shared" si="14"/>
        <v>-</v>
      </c>
      <c r="H116" s="2" t="str">
        <f t="shared" si="15"/>
        <v>합격</v>
      </c>
      <c r="I116" s="41"/>
      <c r="J116" s="41"/>
      <c r="K116" s="34">
        <f t="shared" si="16"/>
        <v>0</v>
      </c>
      <c r="L116" s="41"/>
      <c r="M116" s="30" t="str">
        <f t="shared" si="17"/>
        <v>-</v>
      </c>
      <c r="N116" s="30" t="str">
        <f t="shared" si="18"/>
        <v>합격</v>
      </c>
      <c r="O116" s="2">
        <f t="shared" si="13"/>
        <v>0</v>
      </c>
      <c r="P116" s="2"/>
    </row>
    <row r="117" spans="3:16" x14ac:dyDescent="0.45">
      <c r="C117" s="5"/>
      <c r="F117" s="18">
        <f t="shared" si="12"/>
        <v>0</v>
      </c>
      <c r="G117" s="30" t="str">
        <f t="shared" si="14"/>
        <v>-</v>
      </c>
      <c r="H117" s="2" t="str">
        <f t="shared" si="15"/>
        <v>합격</v>
      </c>
      <c r="I117" s="41"/>
      <c r="J117" s="41"/>
      <c r="K117" s="34">
        <f t="shared" si="16"/>
        <v>0</v>
      </c>
      <c r="L117" s="41"/>
      <c r="M117" s="30" t="str">
        <f t="shared" si="17"/>
        <v>-</v>
      </c>
      <c r="N117" s="30" t="str">
        <f t="shared" si="18"/>
        <v>합격</v>
      </c>
      <c r="O117" s="2">
        <f t="shared" si="13"/>
        <v>0</v>
      </c>
      <c r="P117" s="2"/>
    </row>
    <row r="118" spans="3:16" x14ac:dyDescent="0.45">
      <c r="C118" s="5"/>
      <c r="F118" s="18">
        <f t="shared" si="12"/>
        <v>0</v>
      </c>
      <c r="G118" s="30" t="str">
        <f t="shared" si="14"/>
        <v>-</v>
      </c>
      <c r="H118" s="2" t="str">
        <f t="shared" si="15"/>
        <v>합격</v>
      </c>
      <c r="I118" s="41"/>
      <c r="J118" s="41"/>
      <c r="K118" s="34">
        <f t="shared" si="16"/>
        <v>0</v>
      </c>
      <c r="L118" s="41"/>
      <c r="M118" s="30" t="str">
        <f t="shared" si="17"/>
        <v>-</v>
      </c>
      <c r="N118" s="30" t="str">
        <f t="shared" si="18"/>
        <v>합격</v>
      </c>
      <c r="O118" s="2">
        <f t="shared" si="13"/>
        <v>0</v>
      </c>
      <c r="P118" s="2"/>
    </row>
    <row r="119" spans="3:16" x14ac:dyDescent="0.45">
      <c r="C119" s="5"/>
      <c r="F119" s="18">
        <f t="shared" si="12"/>
        <v>0</v>
      </c>
      <c r="G119" s="30" t="str">
        <f t="shared" si="14"/>
        <v>-</v>
      </c>
      <c r="H119" s="2" t="str">
        <f t="shared" si="15"/>
        <v>합격</v>
      </c>
      <c r="I119" s="41"/>
      <c r="J119" s="41"/>
      <c r="K119" s="34">
        <f t="shared" si="16"/>
        <v>0</v>
      </c>
      <c r="L119" s="41"/>
      <c r="M119" s="30" t="str">
        <f t="shared" si="17"/>
        <v>-</v>
      </c>
      <c r="N119" s="30" t="str">
        <f t="shared" si="18"/>
        <v>합격</v>
      </c>
      <c r="O119" s="2">
        <f t="shared" si="13"/>
        <v>0</v>
      </c>
      <c r="P119" s="2"/>
    </row>
    <row r="120" spans="3:16" x14ac:dyDescent="0.45">
      <c r="C120" s="5"/>
      <c r="F120" s="18">
        <f t="shared" si="12"/>
        <v>0</v>
      </c>
      <c r="G120" s="30" t="str">
        <f t="shared" si="14"/>
        <v>-</v>
      </c>
      <c r="H120" s="2" t="str">
        <f t="shared" si="15"/>
        <v>합격</v>
      </c>
      <c r="I120" s="41"/>
      <c r="J120" s="41"/>
      <c r="K120" s="34">
        <f t="shared" si="16"/>
        <v>0</v>
      </c>
      <c r="L120" s="41"/>
      <c r="M120" s="30" t="str">
        <f t="shared" si="17"/>
        <v>-</v>
      </c>
      <c r="N120" s="30" t="str">
        <f t="shared" si="18"/>
        <v>합격</v>
      </c>
      <c r="O120" s="2">
        <f t="shared" si="13"/>
        <v>0</v>
      </c>
      <c r="P120" s="2"/>
    </row>
    <row r="121" spans="3:16" x14ac:dyDescent="0.45">
      <c r="C121" s="5"/>
      <c r="F121" s="18">
        <f t="shared" si="12"/>
        <v>0</v>
      </c>
      <c r="G121" s="30" t="str">
        <f t="shared" si="14"/>
        <v>-</v>
      </c>
      <c r="H121" s="2" t="str">
        <f t="shared" si="15"/>
        <v>합격</v>
      </c>
      <c r="I121" s="41"/>
      <c r="J121" s="41"/>
      <c r="K121" s="34">
        <f t="shared" si="16"/>
        <v>0</v>
      </c>
      <c r="L121" s="41"/>
      <c r="M121" s="30" t="str">
        <f t="shared" si="17"/>
        <v>-</v>
      </c>
      <c r="N121" s="30" t="str">
        <f t="shared" si="18"/>
        <v>합격</v>
      </c>
      <c r="O121" s="2">
        <f t="shared" si="13"/>
        <v>0</v>
      </c>
      <c r="P121" s="2"/>
    </row>
    <row r="122" spans="3:16" x14ac:dyDescent="0.45">
      <c r="C122" s="5"/>
      <c r="F122" s="18">
        <f t="shared" si="12"/>
        <v>0</v>
      </c>
      <c r="G122" s="30" t="str">
        <f t="shared" si="14"/>
        <v>-</v>
      </c>
      <c r="H122" s="2" t="str">
        <f t="shared" si="15"/>
        <v>합격</v>
      </c>
      <c r="I122" s="41"/>
      <c r="J122" s="41"/>
      <c r="K122" s="34">
        <f t="shared" si="16"/>
        <v>0</v>
      </c>
      <c r="L122" s="41"/>
      <c r="M122" s="30" t="str">
        <f t="shared" si="17"/>
        <v>-</v>
      </c>
      <c r="N122" s="30" t="str">
        <f t="shared" si="18"/>
        <v>합격</v>
      </c>
      <c r="O122" s="2">
        <f t="shared" si="13"/>
        <v>0</v>
      </c>
      <c r="P122" s="2"/>
    </row>
    <row r="123" spans="3:16" x14ac:dyDescent="0.45">
      <c r="C123" s="5"/>
      <c r="F123" s="18">
        <f t="shared" si="12"/>
        <v>0</v>
      </c>
      <c r="G123" s="30" t="str">
        <f t="shared" si="14"/>
        <v>-</v>
      </c>
      <c r="H123" s="2" t="str">
        <f t="shared" si="15"/>
        <v>합격</v>
      </c>
      <c r="I123" s="41"/>
      <c r="J123" s="41"/>
      <c r="K123" s="34">
        <f t="shared" si="16"/>
        <v>0</v>
      </c>
      <c r="L123" s="41"/>
      <c r="M123" s="30" t="str">
        <f t="shared" si="17"/>
        <v>-</v>
      </c>
      <c r="N123" s="30" t="str">
        <f t="shared" si="18"/>
        <v>합격</v>
      </c>
      <c r="O123" s="2">
        <f t="shared" si="13"/>
        <v>0</v>
      </c>
      <c r="P123" s="2"/>
    </row>
    <row r="124" spans="3:16" x14ac:dyDescent="0.45">
      <c r="C124" s="5"/>
      <c r="F124" s="18">
        <f t="shared" si="12"/>
        <v>0</v>
      </c>
      <c r="G124" s="30" t="str">
        <f t="shared" si="14"/>
        <v>-</v>
      </c>
      <c r="H124" s="2" t="str">
        <f t="shared" si="15"/>
        <v>합격</v>
      </c>
      <c r="I124" s="41"/>
      <c r="J124" s="41"/>
      <c r="K124" s="34">
        <f t="shared" si="16"/>
        <v>0</v>
      </c>
      <c r="L124" s="41"/>
      <c r="M124" s="30" t="str">
        <f t="shared" si="17"/>
        <v>-</v>
      </c>
      <c r="N124" s="30" t="str">
        <f t="shared" si="18"/>
        <v>합격</v>
      </c>
      <c r="O124" s="2">
        <f t="shared" si="13"/>
        <v>0</v>
      </c>
      <c r="P124" s="2"/>
    </row>
    <row r="125" spans="3:16" x14ac:dyDescent="0.45">
      <c r="C125" s="5"/>
      <c r="F125" s="18">
        <f t="shared" si="12"/>
        <v>0</v>
      </c>
      <c r="G125" s="30" t="str">
        <f t="shared" si="14"/>
        <v>-</v>
      </c>
      <c r="H125" s="2" t="str">
        <f t="shared" si="15"/>
        <v>합격</v>
      </c>
      <c r="I125" s="41"/>
      <c r="J125" s="41"/>
      <c r="K125" s="34">
        <f t="shared" si="16"/>
        <v>0</v>
      </c>
      <c r="L125" s="41"/>
      <c r="M125" s="30" t="str">
        <f t="shared" si="17"/>
        <v>-</v>
      </c>
      <c r="N125" s="30" t="str">
        <f t="shared" si="18"/>
        <v>합격</v>
      </c>
      <c r="O125" s="2">
        <f t="shared" si="13"/>
        <v>0</v>
      </c>
      <c r="P125" s="2"/>
    </row>
    <row r="126" spans="3:16" x14ac:dyDescent="0.45">
      <c r="C126" s="5"/>
      <c r="F126" s="18">
        <f t="shared" si="12"/>
        <v>0</v>
      </c>
      <c r="G126" s="30" t="str">
        <f t="shared" si="14"/>
        <v>-</v>
      </c>
      <c r="H126" s="2" t="str">
        <f t="shared" si="15"/>
        <v>합격</v>
      </c>
      <c r="I126" s="41"/>
      <c r="J126" s="41"/>
      <c r="K126" s="34">
        <f t="shared" si="16"/>
        <v>0</v>
      </c>
      <c r="L126" s="41"/>
      <c r="M126" s="30" t="str">
        <f t="shared" si="17"/>
        <v>-</v>
      </c>
      <c r="N126" s="30" t="str">
        <f t="shared" si="18"/>
        <v>합격</v>
      </c>
      <c r="O126" s="2">
        <f t="shared" ref="O126:O157" si="19">A126</f>
        <v>0</v>
      </c>
      <c r="P126" s="2"/>
    </row>
    <row r="127" spans="3:16" x14ac:dyDescent="0.45">
      <c r="C127" s="5"/>
      <c r="F127" s="18">
        <f t="shared" si="12"/>
        <v>0</v>
      </c>
      <c r="G127" s="30" t="str">
        <f t="shared" si="14"/>
        <v>-</v>
      </c>
      <c r="H127" s="2" t="str">
        <f t="shared" si="15"/>
        <v>합격</v>
      </c>
      <c r="I127" s="41"/>
      <c r="J127" s="41"/>
      <c r="K127" s="34">
        <f t="shared" si="16"/>
        <v>0</v>
      </c>
      <c r="L127" s="41"/>
      <c r="M127" s="30" t="str">
        <f t="shared" si="17"/>
        <v>-</v>
      </c>
      <c r="N127" s="30" t="str">
        <f t="shared" si="18"/>
        <v>합격</v>
      </c>
      <c r="O127" s="2">
        <f t="shared" si="19"/>
        <v>0</v>
      </c>
      <c r="P127" s="2"/>
    </row>
    <row r="128" spans="3:16" x14ac:dyDescent="0.45">
      <c r="C128" s="5"/>
      <c r="F128" s="18">
        <f t="shared" si="12"/>
        <v>0</v>
      </c>
      <c r="G128" s="30" t="str">
        <f t="shared" si="14"/>
        <v>-</v>
      </c>
      <c r="H128" s="2" t="str">
        <f t="shared" si="15"/>
        <v>합격</v>
      </c>
      <c r="I128" s="41"/>
      <c r="J128" s="41"/>
      <c r="K128" s="34">
        <f t="shared" si="16"/>
        <v>0</v>
      </c>
      <c r="L128" s="41"/>
      <c r="M128" s="30" t="str">
        <f t="shared" si="17"/>
        <v>-</v>
      </c>
      <c r="N128" s="30" t="str">
        <f t="shared" si="18"/>
        <v>합격</v>
      </c>
      <c r="O128" s="2">
        <f t="shared" si="19"/>
        <v>0</v>
      </c>
      <c r="P128" s="2"/>
    </row>
    <row r="129" spans="3:16" x14ac:dyDescent="0.45">
      <c r="C129" s="5"/>
      <c r="F129" s="18">
        <f t="shared" si="12"/>
        <v>0</v>
      </c>
      <c r="G129" s="30" t="str">
        <f t="shared" si="14"/>
        <v>-</v>
      </c>
      <c r="H129" s="2" t="str">
        <f t="shared" si="15"/>
        <v>합격</v>
      </c>
      <c r="I129" s="41"/>
      <c r="J129" s="41"/>
      <c r="K129" s="34">
        <f t="shared" si="16"/>
        <v>0</v>
      </c>
      <c r="L129" s="41"/>
      <c r="M129" s="30" t="str">
        <f t="shared" si="17"/>
        <v>-</v>
      </c>
      <c r="N129" s="30" t="str">
        <f t="shared" si="18"/>
        <v>합격</v>
      </c>
      <c r="O129" s="2">
        <f t="shared" si="19"/>
        <v>0</v>
      </c>
      <c r="P129" s="2"/>
    </row>
    <row r="130" spans="3:16" x14ac:dyDescent="0.45">
      <c r="C130" s="5"/>
      <c r="F130" s="18">
        <f t="shared" si="12"/>
        <v>0</v>
      </c>
      <c r="G130" s="30" t="str">
        <f t="shared" si="14"/>
        <v>-</v>
      </c>
      <c r="H130" s="2" t="str">
        <f t="shared" si="15"/>
        <v>합격</v>
      </c>
      <c r="I130" s="41"/>
      <c r="J130" s="41"/>
      <c r="K130" s="34">
        <f t="shared" si="16"/>
        <v>0</v>
      </c>
      <c r="L130" s="41"/>
      <c r="M130" s="30" t="str">
        <f t="shared" si="17"/>
        <v>-</v>
      </c>
      <c r="N130" s="30" t="str">
        <f t="shared" si="18"/>
        <v>합격</v>
      </c>
      <c r="O130" s="2">
        <f t="shared" si="19"/>
        <v>0</v>
      </c>
      <c r="P130" s="2"/>
    </row>
    <row r="131" spans="3:16" x14ac:dyDescent="0.45">
      <c r="C131" s="5"/>
      <c r="F131" s="18">
        <f t="shared" si="12"/>
        <v>0</v>
      </c>
      <c r="G131" s="30" t="str">
        <f t="shared" si="14"/>
        <v>-</v>
      </c>
      <c r="H131" s="2" t="str">
        <f t="shared" si="15"/>
        <v>합격</v>
      </c>
      <c r="I131" s="41"/>
      <c r="J131" s="41"/>
      <c r="K131" s="34">
        <f t="shared" si="16"/>
        <v>0</v>
      </c>
      <c r="L131" s="41"/>
      <c r="M131" s="30" t="str">
        <f t="shared" si="17"/>
        <v>-</v>
      </c>
      <c r="N131" s="30" t="str">
        <f t="shared" si="18"/>
        <v>합격</v>
      </c>
      <c r="O131" s="2">
        <f t="shared" si="19"/>
        <v>0</v>
      </c>
      <c r="P131" s="2"/>
    </row>
    <row r="132" spans="3:16" x14ac:dyDescent="0.45">
      <c r="C132" s="5"/>
      <c r="F132" s="18">
        <f t="shared" si="12"/>
        <v>0</v>
      </c>
      <c r="G132" s="30" t="str">
        <f t="shared" si="14"/>
        <v>-</v>
      </c>
      <c r="H132" s="2" t="str">
        <f t="shared" si="15"/>
        <v>합격</v>
      </c>
      <c r="I132" s="41"/>
      <c r="J132" s="41"/>
      <c r="K132" s="34">
        <f t="shared" si="16"/>
        <v>0</v>
      </c>
      <c r="L132" s="41"/>
      <c r="M132" s="30" t="str">
        <f t="shared" si="17"/>
        <v>-</v>
      </c>
      <c r="N132" s="30" t="str">
        <f t="shared" si="18"/>
        <v>합격</v>
      </c>
      <c r="O132" s="2">
        <f t="shared" si="19"/>
        <v>0</v>
      </c>
      <c r="P132" s="2"/>
    </row>
    <row r="133" spans="3:16" x14ac:dyDescent="0.45">
      <c r="C133" s="5"/>
      <c r="F133" s="18">
        <f t="shared" si="12"/>
        <v>0</v>
      </c>
      <c r="G133" s="30" t="str">
        <f t="shared" si="14"/>
        <v>-</v>
      </c>
      <c r="H133" s="2" t="str">
        <f t="shared" si="15"/>
        <v>합격</v>
      </c>
      <c r="I133" s="41"/>
      <c r="J133" s="41"/>
      <c r="K133" s="34">
        <f t="shared" si="16"/>
        <v>0</v>
      </c>
      <c r="L133" s="41"/>
      <c r="M133" s="30" t="str">
        <f t="shared" si="17"/>
        <v>-</v>
      </c>
      <c r="N133" s="30" t="str">
        <f t="shared" si="18"/>
        <v>합격</v>
      </c>
      <c r="O133" s="2">
        <f t="shared" si="19"/>
        <v>0</v>
      </c>
      <c r="P133" s="2"/>
    </row>
    <row r="134" spans="3:16" x14ac:dyDescent="0.45">
      <c r="C134" s="5"/>
      <c r="F134" s="18">
        <f t="shared" si="12"/>
        <v>0</v>
      </c>
      <c r="G134" s="30" t="str">
        <f t="shared" si="14"/>
        <v>-</v>
      </c>
      <c r="H134" s="2" t="str">
        <f t="shared" si="15"/>
        <v>합격</v>
      </c>
      <c r="I134" s="41"/>
      <c r="J134" s="41"/>
      <c r="K134" s="34">
        <f t="shared" si="16"/>
        <v>0</v>
      </c>
      <c r="L134" s="41"/>
      <c r="M134" s="30" t="str">
        <f t="shared" si="17"/>
        <v>-</v>
      </c>
      <c r="N134" s="30" t="str">
        <f t="shared" si="18"/>
        <v>합격</v>
      </c>
      <c r="O134" s="2">
        <f t="shared" si="19"/>
        <v>0</v>
      </c>
      <c r="P134" s="2"/>
    </row>
    <row r="135" spans="3:16" x14ac:dyDescent="0.45">
      <c r="C135" s="5"/>
      <c r="F135" s="18">
        <f t="shared" ref="F135:F198" si="20">E135*60*0.001</f>
        <v>0</v>
      </c>
      <c r="G135" s="30" t="str">
        <f t="shared" si="14"/>
        <v>-</v>
      </c>
      <c r="H135" s="2" t="str">
        <f t="shared" si="15"/>
        <v>합격</v>
      </c>
      <c r="I135" s="41"/>
      <c r="J135" s="41"/>
      <c r="K135" s="34">
        <f t="shared" si="16"/>
        <v>0</v>
      </c>
      <c r="L135" s="41"/>
      <c r="M135" s="30" t="str">
        <f t="shared" si="17"/>
        <v>-</v>
      </c>
      <c r="N135" s="30" t="str">
        <f t="shared" si="18"/>
        <v>합격</v>
      </c>
      <c r="O135" s="2">
        <f t="shared" si="19"/>
        <v>0</v>
      </c>
      <c r="P135" s="2"/>
    </row>
    <row r="136" spans="3:16" x14ac:dyDescent="0.45">
      <c r="C136" s="5"/>
      <c r="F136" s="18">
        <f t="shared" si="20"/>
        <v>0</v>
      </c>
      <c r="G136" s="30" t="str">
        <f t="shared" si="14"/>
        <v>-</v>
      </c>
      <c r="H136" s="2" t="str">
        <f t="shared" si="15"/>
        <v>합격</v>
      </c>
      <c r="I136" s="41"/>
      <c r="J136" s="41"/>
      <c r="K136" s="34">
        <f t="shared" si="16"/>
        <v>0</v>
      </c>
      <c r="L136" s="41"/>
      <c r="M136" s="30" t="str">
        <f t="shared" si="17"/>
        <v>-</v>
      </c>
      <c r="N136" s="30" t="str">
        <f t="shared" si="18"/>
        <v>합격</v>
      </c>
      <c r="O136" s="2">
        <f t="shared" si="19"/>
        <v>0</v>
      </c>
      <c r="P136" s="2"/>
    </row>
    <row r="137" spans="3:16" x14ac:dyDescent="0.45">
      <c r="C137" s="5"/>
      <c r="F137" s="18">
        <f t="shared" si="20"/>
        <v>0</v>
      </c>
      <c r="G137" s="30" t="str">
        <f t="shared" si="14"/>
        <v>-</v>
      </c>
      <c r="H137" s="2" t="str">
        <f t="shared" si="15"/>
        <v>합격</v>
      </c>
      <c r="I137" s="41"/>
      <c r="J137" s="41"/>
      <c r="K137" s="34">
        <f t="shared" si="16"/>
        <v>0</v>
      </c>
      <c r="L137" s="41"/>
      <c r="M137" s="30" t="str">
        <f t="shared" si="17"/>
        <v>-</v>
      </c>
      <c r="N137" s="30" t="str">
        <f t="shared" si="18"/>
        <v>합격</v>
      </c>
      <c r="O137" s="2">
        <f t="shared" si="19"/>
        <v>0</v>
      </c>
      <c r="P137" s="2"/>
    </row>
    <row r="138" spans="3:16" x14ac:dyDescent="0.45">
      <c r="C138" s="5"/>
      <c r="F138" s="18">
        <f t="shared" si="20"/>
        <v>0</v>
      </c>
      <c r="G138" s="30" t="str">
        <f t="shared" si="14"/>
        <v>-</v>
      </c>
      <c r="H138" s="2" t="str">
        <f t="shared" si="15"/>
        <v>합격</v>
      </c>
      <c r="I138" s="41"/>
      <c r="J138" s="41"/>
      <c r="K138" s="34">
        <f t="shared" si="16"/>
        <v>0</v>
      </c>
      <c r="L138" s="41"/>
      <c r="M138" s="30" t="str">
        <f t="shared" si="17"/>
        <v>-</v>
      </c>
      <c r="N138" s="30" t="str">
        <f t="shared" si="18"/>
        <v>합격</v>
      </c>
      <c r="O138" s="2">
        <f t="shared" si="19"/>
        <v>0</v>
      </c>
      <c r="P138" s="2"/>
    </row>
    <row r="139" spans="3:16" x14ac:dyDescent="0.45">
      <c r="C139" s="5"/>
      <c r="F139" s="18">
        <f t="shared" si="20"/>
        <v>0</v>
      </c>
      <c r="G139" s="30" t="str">
        <f t="shared" si="14"/>
        <v>-</v>
      </c>
      <c r="H139" s="2" t="str">
        <f t="shared" si="15"/>
        <v>합격</v>
      </c>
      <c r="I139" s="41"/>
      <c r="J139" s="41"/>
      <c r="K139" s="34">
        <f t="shared" si="16"/>
        <v>0</v>
      </c>
      <c r="L139" s="41"/>
      <c r="M139" s="30" t="str">
        <f t="shared" si="17"/>
        <v>-</v>
      </c>
      <c r="N139" s="30" t="str">
        <f t="shared" si="18"/>
        <v>합격</v>
      </c>
      <c r="O139" s="2">
        <f t="shared" si="19"/>
        <v>0</v>
      </c>
      <c r="P139" s="2"/>
    </row>
    <row r="140" spans="3:16" x14ac:dyDescent="0.45">
      <c r="C140" s="5"/>
      <c r="F140" s="18">
        <f t="shared" si="20"/>
        <v>0</v>
      </c>
      <c r="G140" s="30" t="str">
        <f t="shared" si="14"/>
        <v>-</v>
      </c>
      <c r="H140" s="2" t="str">
        <f t="shared" si="15"/>
        <v>합격</v>
      </c>
      <c r="I140" s="41"/>
      <c r="J140" s="41"/>
      <c r="K140" s="34">
        <f t="shared" si="16"/>
        <v>0</v>
      </c>
      <c r="L140" s="41"/>
      <c r="M140" s="30" t="str">
        <f t="shared" si="17"/>
        <v>-</v>
      </c>
      <c r="N140" s="30" t="str">
        <f t="shared" si="18"/>
        <v>합격</v>
      </c>
      <c r="O140" s="2">
        <f t="shared" si="19"/>
        <v>0</v>
      </c>
      <c r="P140" s="2"/>
    </row>
    <row r="141" spans="3:16" x14ac:dyDescent="0.45">
      <c r="C141" s="5"/>
      <c r="F141" s="18">
        <f t="shared" si="20"/>
        <v>0</v>
      </c>
      <c r="G141" s="30" t="str">
        <f t="shared" si="14"/>
        <v>-</v>
      </c>
      <c r="H141" s="2" t="str">
        <f t="shared" si="15"/>
        <v>합격</v>
      </c>
      <c r="I141" s="41"/>
      <c r="J141" s="41"/>
      <c r="K141" s="34">
        <f t="shared" si="16"/>
        <v>0</v>
      </c>
      <c r="L141" s="41"/>
      <c r="M141" s="30" t="str">
        <f t="shared" si="17"/>
        <v>-</v>
      </c>
      <c r="N141" s="30" t="str">
        <f t="shared" si="18"/>
        <v>합격</v>
      </c>
      <c r="O141" s="2">
        <f t="shared" si="19"/>
        <v>0</v>
      </c>
      <c r="P141" s="2"/>
    </row>
    <row r="142" spans="3:16" x14ac:dyDescent="0.45">
      <c r="C142" s="5"/>
      <c r="F142" s="18">
        <f t="shared" si="20"/>
        <v>0</v>
      </c>
      <c r="G142" s="30" t="str">
        <f t="shared" si="14"/>
        <v>-</v>
      </c>
      <c r="H142" s="2" t="str">
        <f t="shared" si="15"/>
        <v>합격</v>
      </c>
      <c r="I142" s="41"/>
      <c r="J142" s="41"/>
      <c r="K142" s="34">
        <f t="shared" si="16"/>
        <v>0</v>
      </c>
      <c r="L142" s="41"/>
      <c r="M142" s="30" t="str">
        <f t="shared" si="17"/>
        <v>-</v>
      </c>
      <c r="N142" s="30" t="str">
        <f t="shared" si="18"/>
        <v>합격</v>
      </c>
      <c r="O142" s="2">
        <f t="shared" si="19"/>
        <v>0</v>
      </c>
      <c r="P142" s="2"/>
    </row>
    <row r="143" spans="3:16" x14ac:dyDescent="0.45">
      <c r="C143" s="5"/>
      <c r="F143" s="18">
        <f t="shared" si="20"/>
        <v>0</v>
      </c>
      <c r="G143" s="30" t="str">
        <f t="shared" si="14"/>
        <v>-</v>
      </c>
      <c r="H143" s="2" t="str">
        <f t="shared" si="15"/>
        <v>합격</v>
      </c>
      <c r="I143" s="41"/>
      <c r="J143" s="41"/>
      <c r="K143" s="34">
        <f t="shared" si="16"/>
        <v>0</v>
      </c>
      <c r="L143" s="41"/>
      <c r="M143" s="30" t="str">
        <f t="shared" si="17"/>
        <v>-</v>
      </c>
      <c r="N143" s="30" t="str">
        <f t="shared" si="18"/>
        <v>합격</v>
      </c>
      <c r="O143" s="2">
        <f t="shared" si="19"/>
        <v>0</v>
      </c>
      <c r="P143" s="2"/>
    </row>
    <row r="144" spans="3:16" x14ac:dyDescent="0.45">
      <c r="C144" s="5"/>
      <c r="F144" s="18">
        <f t="shared" si="20"/>
        <v>0</v>
      </c>
      <c r="G144" s="30" t="str">
        <f t="shared" si="14"/>
        <v>-</v>
      </c>
      <c r="H144" s="2" t="str">
        <f t="shared" si="15"/>
        <v>합격</v>
      </c>
      <c r="I144" s="41"/>
      <c r="J144" s="41"/>
      <c r="K144" s="34">
        <f t="shared" si="16"/>
        <v>0</v>
      </c>
      <c r="L144" s="41"/>
      <c r="M144" s="30" t="str">
        <f t="shared" si="17"/>
        <v>-</v>
      </c>
      <c r="N144" s="30" t="str">
        <f t="shared" si="18"/>
        <v>합격</v>
      </c>
      <c r="O144" s="2">
        <f t="shared" si="19"/>
        <v>0</v>
      </c>
      <c r="P144" s="2"/>
    </row>
    <row r="145" spans="3:16" x14ac:dyDescent="0.45">
      <c r="C145" s="5"/>
      <c r="F145" s="18">
        <f t="shared" si="20"/>
        <v>0</v>
      </c>
      <c r="G145" s="30" t="str">
        <f t="shared" si="14"/>
        <v>-</v>
      </c>
      <c r="H145" s="2" t="str">
        <f t="shared" si="15"/>
        <v>합격</v>
      </c>
      <c r="I145" s="41"/>
      <c r="J145" s="41"/>
      <c r="K145" s="34">
        <f t="shared" si="16"/>
        <v>0</v>
      </c>
      <c r="L145" s="41"/>
      <c r="M145" s="30" t="str">
        <f t="shared" si="17"/>
        <v>-</v>
      </c>
      <c r="N145" s="30" t="str">
        <f t="shared" si="18"/>
        <v>합격</v>
      </c>
      <c r="O145" s="2">
        <f t="shared" si="19"/>
        <v>0</v>
      </c>
      <c r="P145" s="2"/>
    </row>
    <row r="146" spans="3:16" x14ac:dyDescent="0.45">
      <c r="C146" s="5"/>
      <c r="F146" s="18">
        <f t="shared" si="20"/>
        <v>0</v>
      </c>
      <c r="G146" s="30" t="str">
        <f t="shared" si="14"/>
        <v>-</v>
      </c>
      <c r="H146" s="2" t="str">
        <f t="shared" si="15"/>
        <v>합격</v>
      </c>
      <c r="I146" s="41"/>
      <c r="J146" s="41"/>
      <c r="K146" s="34">
        <f t="shared" si="16"/>
        <v>0</v>
      </c>
      <c r="L146" s="41"/>
      <c r="M146" s="30" t="str">
        <f t="shared" si="17"/>
        <v>-</v>
      </c>
      <c r="N146" s="30" t="str">
        <f t="shared" si="18"/>
        <v>합격</v>
      </c>
      <c r="O146" s="2">
        <f t="shared" si="19"/>
        <v>0</v>
      </c>
      <c r="P146" s="2"/>
    </row>
    <row r="147" spans="3:16" x14ac:dyDescent="0.45">
      <c r="C147" s="5"/>
      <c r="F147" s="18">
        <f t="shared" si="20"/>
        <v>0</v>
      </c>
      <c r="G147" s="30" t="str">
        <f t="shared" si="14"/>
        <v>-</v>
      </c>
      <c r="H147" s="2" t="str">
        <f t="shared" si="15"/>
        <v>합격</v>
      </c>
      <c r="I147" s="41"/>
      <c r="J147" s="41"/>
      <c r="K147" s="34">
        <f t="shared" si="16"/>
        <v>0</v>
      </c>
      <c r="L147" s="41"/>
      <c r="M147" s="30" t="str">
        <f t="shared" si="17"/>
        <v>-</v>
      </c>
      <c r="N147" s="30" t="str">
        <f t="shared" si="18"/>
        <v>합격</v>
      </c>
      <c r="O147" s="2">
        <f t="shared" si="19"/>
        <v>0</v>
      </c>
      <c r="P147" s="2"/>
    </row>
    <row r="148" spans="3:16" x14ac:dyDescent="0.45">
      <c r="C148" s="5"/>
      <c r="F148" s="18">
        <f t="shared" si="20"/>
        <v>0</v>
      </c>
      <c r="G148" s="30" t="str">
        <f t="shared" si="14"/>
        <v>-</v>
      </c>
      <c r="H148" s="2" t="str">
        <f t="shared" si="15"/>
        <v>합격</v>
      </c>
      <c r="I148" s="41"/>
      <c r="J148" s="41"/>
      <c r="K148" s="34">
        <f t="shared" si="16"/>
        <v>0</v>
      </c>
      <c r="L148" s="41"/>
      <c r="M148" s="30" t="str">
        <f t="shared" si="17"/>
        <v>-</v>
      </c>
      <c r="N148" s="30" t="str">
        <f t="shared" si="18"/>
        <v>합격</v>
      </c>
      <c r="O148" s="2">
        <f t="shared" si="19"/>
        <v>0</v>
      </c>
      <c r="P148" s="2"/>
    </row>
    <row r="149" spans="3:16" x14ac:dyDescent="0.45">
      <c r="C149" s="5"/>
      <c r="F149" s="18">
        <f t="shared" si="20"/>
        <v>0</v>
      </c>
      <c r="G149" s="30" t="str">
        <f t="shared" si="14"/>
        <v>-</v>
      </c>
      <c r="H149" s="2" t="str">
        <f t="shared" si="15"/>
        <v>합격</v>
      </c>
      <c r="I149" s="41"/>
      <c r="J149" s="41"/>
      <c r="K149" s="34">
        <f t="shared" si="16"/>
        <v>0</v>
      </c>
      <c r="L149" s="41"/>
      <c r="M149" s="30" t="str">
        <f t="shared" si="17"/>
        <v>-</v>
      </c>
      <c r="N149" s="30" t="str">
        <f t="shared" si="18"/>
        <v>합격</v>
      </c>
      <c r="O149" s="2">
        <f t="shared" si="19"/>
        <v>0</v>
      </c>
      <c r="P149" s="2"/>
    </row>
    <row r="150" spans="3:16" x14ac:dyDescent="0.45">
      <c r="C150" s="5"/>
      <c r="F150" s="18">
        <f t="shared" si="20"/>
        <v>0</v>
      </c>
      <c r="G150" s="30" t="str">
        <f t="shared" si="14"/>
        <v>-</v>
      </c>
      <c r="H150" s="2" t="str">
        <f t="shared" si="15"/>
        <v>합격</v>
      </c>
      <c r="I150" s="41"/>
      <c r="J150" s="41"/>
      <c r="K150" s="34">
        <f t="shared" si="16"/>
        <v>0</v>
      </c>
      <c r="L150" s="41"/>
      <c r="M150" s="30" t="str">
        <f t="shared" si="17"/>
        <v>-</v>
      </c>
      <c r="N150" s="30" t="str">
        <f t="shared" si="18"/>
        <v>합격</v>
      </c>
      <c r="O150" s="2">
        <f t="shared" si="19"/>
        <v>0</v>
      </c>
      <c r="P150" s="2"/>
    </row>
    <row r="151" spans="3:16" x14ac:dyDescent="0.45">
      <c r="C151" s="5"/>
      <c r="F151" s="18">
        <f t="shared" si="20"/>
        <v>0</v>
      </c>
      <c r="G151" s="30" t="str">
        <f t="shared" si="14"/>
        <v>-</v>
      </c>
      <c r="H151" s="2" t="str">
        <f t="shared" si="15"/>
        <v>합격</v>
      </c>
      <c r="I151" s="41"/>
      <c r="J151" s="41"/>
      <c r="K151" s="34">
        <f t="shared" si="16"/>
        <v>0</v>
      </c>
      <c r="L151" s="41"/>
      <c r="M151" s="30" t="str">
        <f t="shared" si="17"/>
        <v>-</v>
      </c>
      <c r="N151" s="30" t="str">
        <f t="shared" si="18"/>
        <v>합격</v>
      </c>
      <c r="O151" s="2">
        <f t="shared" si="19"/>
        <v>0</v>
      </c>
      <c r="P151" s="2"/>
    </row>
    <row r="152" spans="3:16" x14ac:dyDescent="0.45">
      <c r="C152" s="5"/>
      <c r="F152" s="18">
        <f t="shared" si="20"/>
        <v>0</v>
      </c>
      <c r="G152" s="30" t="str">
        <f t="shared" si="14"/>
        <v>-</v>
      </c>
      <c r="H152" s="2" t="str">
        <f t="shared" si="15"/>
        <v>합격</v>
      </c>
      <c r="I152" s="41"/>
      <c r="J152" s="41"/>
      <c r="K152" s="34">
        <f t="shared" si="16"/>
        <v>0</v>
      </c>
      <c r="L152" s="41"/>
      <c r="M152" s="30" t="str">
        <f t="shared" si="17"/>
        <v>-</v>
      </c>
      <c r="N152" s="30" t="str">
        <f t="shared" si="18"/>
        <v>합격</v>
      </c>
      <c r="O152" s="2">
        <f t="shared" si="19"/>
        <v>0</v>
      </c>
      <c r="P152" s="2"/>
    </row>
    <row r="153" spans="3:16" x14ac:dyDescent="0.45">
      <c r="C153" s="5"/>
      <c r="F153" s="18">
        <f t="shared" si="20"/>
        <v>0</v>
      </c>
      <c r="G153" s="30" t="str">
        <f t="shared" si="14"/>
        <v>-</v>
      </c>
      <c r="H153" s="2" t="str">
        <f t="shared" si="15"/>
        <v>합격</v>
      </c>
      <c r="I153" s="41"/>
      <c r="J153" s="41"/>
      <c r="K153" s="34">
        <f t="shared" si="16"/>
        <v>0</v>
      </c>
      <c r="L153" s="41"/>
      <c r="M153" s="30" t="str">
        <f t="shared" si="17"/>
        <v>-</v>
      </c>
      <c r="N153" s="30" t="str">
        <f t="shared" si="18"/>
        <v>합격</v>
      </c>
      <c r="O153" s="2">
        <f t="shared" si="19"/>
        <v>0</v>
      </c>
      <c r="P153" s="2"/>
    </row>
    <row r="154" spans="3:16" x14ac:dyDescent="0.45">
      <c r="C154" s="5"/>
      <c r="F154" s="18">
        <f t="shared" si="20"/>
        <v>0</v>
      </c>
      <c r="G154" s="30" t="str">
        <f t="shared" si="14"/>
        <v>-</v>
      </c>
      <c r="H154" s="2" t="str">
        <f t="shared" si="15"/>
        <v>합격</v>
      </c>
      <c r="I154" s="41"/>
      <c r="J154" s="41"/>
      <c r="K154" s="34">
        <f t="shared" si="16"/>
        <v>0</v>
      </c>
      <c r="L154" s="41"/>
      <c r="M154" s="30" t="str">
        <f t="shared" si="17"/>
        <v>-</v>
      </c>
      <c r="N154" s="30" t="str">
        <f t="shared" si="18"/>
        <v>합격</v>
      </c>
      <c r="O154" s="2">
        <f t="shared" si="19"/>
        <v>0</v>
      </c>
      <c r="P154" s="2"/>
    </row>
    <row r="155" spans="3:16" x14ac:dyDescent="0.45">
      <c r="C155" s="5"/>
      <c r="F155" s="18">
        <f t="shared" si="20"/>
        <v>0</v>
      </c>
      <c r="G155" s="30" t="str">
        <f t="shared" si="14"/>
        <v>-</v>
      </c>
      <c r="H155" s="2" t="str">
        <f t="shared" si="15"/>
        <v>합격</v>
      </c>
      <c r="I155" s="41"/>
      <c r="J155" s="41"/>
      <c r="K155" s="34">
        <f t="shared" si="16"/>
        <v>0</v>
      </c>
      <c r="L155" s="41"/>
      <c r="M155" s="30" t="str">
        <f t="shared" si="17"/>
        <v>-</v>
      </c>
      <c r="N155" s="30" t="str">
        <f t="shared" si="18"/>
        <v>합격</v>
      </c>
      <c r="O155" s="2">
        <f t="shared" si="19"/>
        <v>0</v>
      </c>
      <c r="P155" s="2"/>
    </row>
    <row r="156" spans="3:16" x14ac:dyDescent="0.45">
      <c r="C156" s="5"/>
      <c r="F156" s="18">
        <f t="shared" si="20"/>
        <v>0</v>
      </c>
      <c r="G156" s="30" t="str">
        <f t="shared" si="14"/>
        <v>-</v>
      </c>
      <c r="H156" s="2" t="str">
        <f t="shared" si="15"/>
        <v>합격</v>
      </c>
      <c r="I156" s="41"/>
      <c r="J156" s="41"/>
      <c r="K156" s="34">
        <f t="shared" si="16"/>
        <v>0</v>
      </c>
      <c r="L156" s="41"/>
      <c r="M156" s="30" t="str">
        <f t="shared" si="17"/>
        <v>-</v>
      </c>
      <c r="N156" s="30" t="str">
        <f t="shared" si="18"/>
        <v>합격</v>
      </c>
      <c r="O156" s="2">
        <f t="shared" si="19"/>
        <v>0</v>
      </c>
      <c r="P156" s="2"/>
    </row>
    <row r="157" spans="3:16" x14ac:dyDescent="0.45">
      <c r="C157" s="5"/>
      <c r="F157" s="18">
        <f t="shared" si="20"/>
        <v>0</v>
      </c>
      <c r="G157" s="30" t="str">
        <f t="shared" si="14"/>
        <v>-</v>
      </c>
      <c r="H157" s="2" t="str">
        <f t="shared" si="15"/>
        <v>합격</v>
      </c>
      <c r="I157" s="41"/>
      <c r="J157" s="41"/>
      <c r="K157" s="34">
        <f t="shared" si="16"/>
        <v>0</v>
      </c>
      <c r="L157" s="41"/>
      <c r="M157" s="30" t="str">
        <f t="shared" si="17"/>
        <v>-</v>
      </c>
      <c r="N157" s="30" t="str">
        <f t="shared" si="18"/>
        <v>합격</v>
      </c>
      <c r="O157" s="2">
        <f t="shared" si="19"/>
        <v>0</v>
      </c>
      <c r="P157" s="2"/>
    </row>
    <row r="158" spans="3:16" x14ac:dyDescent="0.45">
      <c r="C158" s="5"/>
      <c r="F158" s="18">
        <f t="shared" si="20"/>
        <v>0</v>
      </c>
      <c r="G158" s="30" t="str">
        <f t="shared" si="14"/>
        <v>-</v>
      </c>
      <c r="H158" s="2" t="str">
        <f t="shared" si="15"/>
        <v>합격</v>
      </c>
      <c r="I158" s="41"/>
      <c r="J158" s="41"/>
      <c r="K158" s="34">
        <f t="shared" si="16"/>
        <v>0</v>
      </c>
      <c r="L158" s="41"/>
      <c r="M158" s="30" t="str">
        <f t="shared" si="17"/>
        <v>-</v>
      </c>
      <c r="N158" s="30" t="str">
        <f t="shared" si="18"/>
        <v>합격</v>
      </c>
      <c r="O158" s="2">
        <f t="shared" ref="O158:O189" si="21">A158</f>
        <v>0</v>
      </c>
      <c r="P158" s="2"/>
    </row>
    <row r="159" spans="3:16" x14ac:dyDescent="0.45">
      <c r="C159" s="5"/>
      <c r="F159" s="18">
        <f t="shared" si="20"/>
        <v>0</v>
      </c>
      <c r="G159" s="30" t="str">
        <f t="shared" si="14"/>
        <v>-</v>
      </c>
      <c r="H159" s="2" t="str">
        <f t="shared" si="15"/>
        <v>합격</v>
      </c>
      <c r="I159" s="41"/>
      <c r="J159" s="41"/>
      <c r="K159" s="34">
        <f t="shared" si="16"/>
        <v>0</v>
      </c>
      <c r="L159" s="41"/>
      <c r="M159" s="30" t="str">
        <f t="shared" si="17"/>
        <v>-</v>
      </c>
      <c r="N159" s="30" t="str">
        <f t="shared" si="18"/>
        <v>합격</v>
      </c>
      <c r="O159" s="2">
        <f t="shared" si="21"/>
        <v>0</v>
      </c>
      <c r="P159" s="2"/>
    </row>
    <row r="160" spans="3:16" x14ac:dyDescent="0.45">
      <c r="C160" s="5"/>
      <c r="F160" s="18">
        <f t="shared" si="20"/>
        <v>0</v>
      </c>
      <c r="G160" s="30" t="str">
        <f t="shared" ref="G160:G211" si="22">IFERROR(C160/F160,"-")</f>
        <v>-</v>
      </c>
      <c r="H160" s="2" t="str">
        <f t="shared" ref="H160:H211" si="23">IF(OR(C160&lt;F160*0.8,C160&gt;F160*1.2),"불합격","합격")</f>
        <v>합격</v>
      </c>
      <c r="I160" s="41"/>
      <c r="J160" s="41"/>
      <c r="K160" s="34">
        <f t="shared" ref="K160:K212" si="24">(J160-I160)*10</f>
        <v>0</v>
      </c>
      <c r="L160" s="41"/>
      <c r="M160" s="30" t="str">
        <f t="shared" ref="M160:M212" si="25">IFERROR(K160/L160,"-")</f>
        <v>-</v>
      </c>
      <c r="N160" s="30" t="str">
        <f t="shared" ref="N160:N212" si="26">IF(OR(K160&lt;L160*0.8,K160&gt;L160*1.2),"불합격","합격")</f>
        <v>합격</v>
      </c>
      <c r="O160" s="2">
        <f t="shared" si="21"/>
        <v>0</v>
      </c>
      <c r="P160" s="2"/>
    </row>
    <row r="161" spans="3:16" x14ac:dyDescent="0.45">
      <c r="C161" s="5"/>
      <c r="F161" s="18">
        <f t="shared" si="20"/>
        <v>0</v>
      </c>
      <c r="G161" s="30" t="str">
        <f t="shared" si="22"/>
        <v>-</v>
      </c>
      <c r="H161" s="2" t="str">
        <f t="shared" si="23"/>
        <v>합격</v>
      </c>
      <c r="I161" s="41"/>
      <c r="J161" s="41"/>
      <c r="K161" s="34">
        <f t="shared" si="24"/>
        <v>0</v>
      </c>
      <c r="L161" s="41"/>
      <c r="M161" s="30" t="str">
        <f t="shared" si="25"/>
        <v>-</v>
      </c>
      <c r="N161" s="30" t="str">
        <f t="shared" si="26"/>
        <v>합격</v>
      </c>
      <c r="O161" s="2">
        <f t="shared" si="21"/>
        <v>0</v>
      </c>
      <c r="P161" s="2"/>
    </row>
    <row r="162" spans="3:16" x14ac:dyDescent="0.45">
      <c r="C162" s="5"/>
      <c r="F162" s="18">
        <f t="shared" si="20"/>
        <v>0</v>
      </c>
      <c r="G162" s="30" t="str">
        <f t="shared" si="22"/>
        <v>-</v>
      </c>
      <c r="H162" s="2" t="str">
        <f t="shared" si="23"/>
        <v>합격</v>
      </c>
      <c r="I162" s="41"/>
      <c r="J162" s="41"/>
      <c r="K162" s="34">
        <f t="shared" si="24"/>
        <v>0</v>
      </c>
      <c r="L162" s="41"/>
      <c r="M162" s="30" t="str">
        <f t="shared" si="25"/>
        <v>-</v>
      </c>
      <c r="N162" s="30" t="str">
        <f t="shared" si="26"/>
        <v>합격</v>
      </c>
      <c r="O162" s="2">
        <f t="shared" si="21"/>
        <v>0</v>
      </c>
      <c r="P162" s="2"/>
    </row>
    <row r="163" spans="3:16" x14ac:dyDescent="0.45">
      <c r="C163" s="5"/>
      <c r="F163" s="18">
        <f t="shared" si="20"/>
        <v>0</v>
      </c>
      <c r="G163" s="30" t="str">
        <f t="shared" si="22"/>
        <v>-</v>
      </c>
      <c r="H163" s="2" t="str">
        <f t="shared" si="23"/>
        <v>합격</v>
      </c>
      <c r="I163" s="41"/>
      <c r="J163" s="41"/>
      <c r="K163" s="34">
        <f t="shared" si="24"/>
        <v>0</v>
      </c>
      <c r="L163" s="41"/>
      <c r="M163" s="30" t="str">
        <f t="shared" si="25"/>
        <v>-</v>
      </c>
      <c r="N163" s="30" t="str">
        <f t="shared" si="26"/>
        <v>합격</v>
      </c>
      <c r="O163" s="2">
        <f t="shared" si="21"/>
        <v>0</v>
      </c>
      <c r="P163" s="2"/>
    </row>
    <row r="164" spans="3:16" x14ac:dyDescent="0.45">
      <c r="C164" s="5"/>
      <c r="F164" s="18">
        <f t="shared" si="20"/>
        <v>0</v>
      </c>
      <c r="G164" s="30" t="str">
        <f t="shared" si="22"/>
        <v>-</v>
      </c>
      <c r="H164" s="2" t="str">
        <f t="shared" si="23"/>
        <v>합격</v>
      </c>
      <c r="I164" s="41"/>
      <c r="J164" s="41"/>
      <c r="K164" s="34">
        <f t="shared" si="24"/>
        <v>0</v>
      </c>
      <c r="L164" s="41"/>
      <c r="M164" s="30" t="str">
        <f t="shared" si="25"/>
        <v>-</v>
      </c>
      <c r="N164" s="30" t="str">
        <f t="shared" si="26"/>
        <v>합격</v>
      </c>
      <c r="O164" s="2">
        <f t="shared" si="21"/>
        <v>0</v>
      </c>
      <c r="P164" s="2"/>
    </row>
    <row r="165" spans="3:16" x14ac:dyDescent="0.45">
      <c r="C165" s="5"/>
      <c r="F165" s="18">
        <f t="shared" si="20"/>
        <v>0</v>
      </c>
      <c r="G165" s="30" t="str">
        <f t="shared" si="22"/>
        <v>-</v>
      </c>
      <c r="H165" s="2" t="str">
        <f t="shared" si="23"/>
        <v>합격</v>
      </c>
      <c r="I165" s="41"/>
      <c r="J165" s="41"/>
      <c r="K165" s="34">
        <f t="shared" si="24"/>
        <v>0</v>
      </c>
      <c r="L165" s="41"/>
      <c r="M165" s="30" t="str">
        <f t="shared" si="25"/>
        <v>-</v>
      </c>
      <c r="N165" s="30" t="str">
        <f t="shared" si="26"/>
        <v>합격</v>
      </c>
      <c r="O165" s="2">
        <f t="shared" si="21"/>
        <v>0</v>
      </c>
      <c r="P165" s="2"/>
    </row>
    <row r="166" spans="3:16" x14ac:dyDescent="0.45">
      <c r="C166" s="5"/>
      <c r="F166" s="18">
        <f t="shared" si="20"/>
        <v>0</v>
      </c>
      <c r="G166" s="30" t="str">
        <f t="shared" si="22"/>
        <v>-</v>
      </c>
      <c r="H166" s="2" t="str">
        <f t="shared" si="23"/>
        <v>합격</v>
      </c>
      <c r="I166" s="41"/>
      <c r="J166" s="41"/>
      <c r="K166" s="34">
        <f t="shared" si="24"/>
        <v>0</v>
      </c>
      <c r="L166" s="41"/>
      <c r="M166" s="30" t="str">
        <f t="shared" si="25"/>
        <v>-</v>
      </c>
      <c r="N166" s="30" t="str">
        <f t="shared" si="26"/>
        <v>합격</v>
      </c>
      <c r="O166" s="2">
        <f t="shared" si="21"/>
        <v>0</v>
      </c>
      <c r="P166" s="2"/>
    </row>
    <row r="167" spans="3:16" x14ac:dyDescent="0.45">
      <c r="C167" s="5"/>
      <c r="F167" s="18">
        <f t="shared" si="20"/>
        <v>0</v>
      </c>
      <c r="G167" s="30" t="str">
        <f t="shared" si="22"/>
        <v>-</v>
      </c>
      <c r="H167" s="2" t="str">
        <f t="shared" si="23"/>
        <v>합격</v>
      </c>
      <c r="I167" s="41"/>
      <c r="J167" s="41"/>
      <c r="K167" s="34">
        <f t="shared" si="24"/>
        <v>0</v>
      </c>
      <c r="L167" s="41"/>
      <c r="M167" s="30" t="str">
        <f t="shared" si="25"/>
        <v>-</v>
      </c>
      <c r="N167" s="30" t="str">
        <f t="shared" si="26"/>
        <v>합격</v>
      </c>
      <c r="O167" s="2">
        <f t="shared" si="21"/>
        <v>0</v>
      </c>
      <c r="P167" s="2"/>
    </row>
    <row r="168" spans="3:16" x14ac:dyDescent="0.45">
      <c r="C168" s="5"/>
      <c r="F168" s="18">
        <f t="shared" si="20"/>
        <v>0</v>
      </c>
      <c r="G168" s="30" t="str">
        <f t="shared" si="22"/>
        <v>-</v>
      </c>
      <c r="H168" s="2" t="str">
        <f t="shared" si="23"/>
        <v>합격</v>
      </c>
      <c r="I168" s="41"/>
      <c r="J168" s="41"/>
      <c r="K168" s="34">
        <f t="shared" si="24"/>
        <v>0</v>
      </c>
      <c r="L168" s="41"/>
      <c r="M168" s="30" t="str">
        <f t="shared" si="25"/>
        <v>-</v>
      </c>
      <c r="N168" s="30" t="str">
        <f t="shared" si="26"/>
        <v>합격</v>
      </c>
      <c r="O168" s="2">
        <f t="shared" si="21"/>
        <v>0</v>
      </c>
      <c r="P168" s="2"/>
    </row>
    <row r="169" spans="3:16" x14ac:dyDescent="0.45">
      <c r="C169" s="5"/>
      <c r="F169" s="18">
        <f t="shared" si="20"/>
        <v>0</v>
      </c>
      <c r="G169" s="30" t="str">
        <f t="shared" si="22"/>
        <v>-</v>
      </c>
      <c r="H169" s="2" t="str">
        <f t="shared" si="23"/>
        <v>합격</v>
      </c>
      <c r="I169" s="41"/>
      <c r="J169" s="41"/>
      <c r="K169" s="34">
        <f t="shared" si="24"/>
        <v>0</v>
      </c>
      <c r="L169" s="41"/>
      <c r="M169" s="30" t="str">
        <f t="shared" si="25"/>
        <v>-</v>
      </c>
      <c r="N169" s="30" t="str">
        <f t="shared" si="26"/>
        <v>합격</v>
      </c>
      <c r="O169" s="2">
        <f t="shared" si="21"/>
        <v>0</v>
      </c>
      <c r="P169" s="2"/>
    </row>
    <row r="170" spans="3:16" x14ac:dyDescent="0.45">
      <c r="C170" s="5"/>
      <c r="F170" s="18">
        <f t="shared" si="20"/>
        <v>0</v>
      </c>
      <c r="G170" s="30" t="str">
        <f t="shared" si="22"/>
        <v>-</v>
      </c>
      <c r="H170" s="2" t="str">
        <f t="shared" si="23"/>
        <v>합격</v>
      </c>
      <c r="I170" s="41"/>
      <c r="J170" s="41"/>
      <c r="K170" s="34">
        <f t="shared" si="24"/>
        <v>0</v>
      </c>
      <c r="L170" s="41"/>
      <c r="M170" s="30" t="str">
        <f t="shared" si="25"/>
        <v>-</v>
      </c>
      <c r="N170" s="30" t="str">
        <f t="shared" si="26"/>
        <v>합격</v>
      </c>
      <c r="O170" s="2">
        <f t="shared" si="21"/>
        <v>0</v>
      </c>
      <c r="P170" s="2"/>
    </row>
    <row r="171" spans="3:16" x14ac:dyDescent="0.45">
      <c r="C171" s="5"/>
      <c r="F171" s="18">
        <f t="shared" si="20"/>
        <v>0</v>
      </c>
      <c r="G171" s="30" t="str">
        <f t="shared" si="22"/>
        <v>-</v>
      </c>
      <c r="H171" s="2" t="str">
        <f t="shared" si="23"/>
        <v>합격</v>
      </c>
      <c r="I171" s="41"/>
      <c r="J171" s="41"/>
      <c r="K171" s="34">
        <f t="shared" si="24"/>
        <v>0</v>
      </c>
      <c r="L171" s="41"/>
      <c r="M171" s="30" t="str">
        <f t="shared" si="25"/>
        <v>-</v>
      </c>
      <c r="N171" s="30" t="str">
        <f t="shared" si="26"/>
        <v>합격</v>
      </c>
      <c r="O171" s="2">
        <f t="shared" si="21"/>
        <v>0</v>
      </c>
      <c r="P171" s="2"/>
    </row>
    <row r="172" spans="3:16" x14ac:dyDescent="0.45">
      <c r="C172" s="5"/>
      <c r="F172" s="18">
        <f t="shared" si="20"/>
        <v>0</v>
      </c>
      <c r="G172" s="30" t="str">
        <f t="shared" si="22"/>
        <v>-</v>
      </c>
      <c r="H172" s="2" t="str">
        <f t="shared" si="23"/>
        <v>합격</v>
      </c>
      <c r="I172" s="41"/>
      <c r="J172" s="41"/>
      <c r="K172" s="34">
        <f t="shared" si="24"/>
        <v>0</v>
      </c>
      <c r="L172" s="41"/>
      <c r="M172" s="30" t="str">
        <f t="shared" si="25"/>
        <v>-</v>
      </c>
      <c r="N172" s="30" t="str">
        <f t="shared" si="26"/>
        <v>합격</v>
      </c>
      <c r="O172" s="2">
        <f t="shared" si="21"/>
        <v>0</v>
      </c>
      <c r="P172" s="2"/>
    </row>
    <row r="173" spans="3:16" x14ac:dyDescent="0.45">
      <c r="C173" s="5"/>
      <c r="F173" s="18">
        <f t="shared" si="20"/>
        <v>0</v>
      </c>
      <c r="G173" s="30" t="str">
        <f t="shared" si="22"/>
        <v>-</v>
      </c>
      <c r="H173" s="2" t="str">
        <f t="shared" si="23"/>
        <v>합격</v>
      </c>
      <c r="I173" s="41"/>
      <c r="J173" s="41"/>
      <c r="K173" s="34">
        <f t="shared" si="24"/>
        <v>0</v>
      </c>
      <c r="L173" s="41"/>
      <c r="M173" s="30" t="str">
        <f t="shared" si="25"/>
        <v>-</v>
      </c>
      <c r="N173" s="30" t="str">
        <f t="shared" si="26"/>
        <v>합격</v>
      </c>
      <c r="O173" s="2">
        <f t="shared" si="21"/>
        <v>0</v>
      </c>
      <c r="P173" s="2"/>
    </row>
    <row r="174" spans="3:16" x14ac:dyDescent="0.45">
      <c r="C174" s="5"/>
      <c r="F174" s="18">
        <f t="shared" si="20"/>
        <v>0</v>
      </c>
      <c r="G174" s="30" t="str">
        <f t="shared" si="22"/>
        <v>-</v>
      </c>
      <c r="H174" s="2" t="str">
        <f t="shared" si="23"/>
        <v>합격</v>
      </c>
      <c r="I174" s="41"/>
      <c r="J174" s="41"/>
      <c r="K174" s="34">
        <f t="shared" si="24"/>
        <v>0</v>
      </c>
      <c r="L174" s="41"/>
      <c r="M174" s="30" t="str">
        <f t="shared" si="25"/>
        <v>-</v>
      </c>
      <c r="N174" s="30" t="str">
        <f t="shared" si="26"/>
        <v>합격</v>
      </c>
      <c r="O174" s="2">
        <f t="shared" si="21"/>
        <v>0</v>
      </c>
      <c r="P174" s="2"/>
    </row>
    <row r="175" spans="3:16" x14ac:dyDescent="0.45">
      <c r="C175" s="5"/>
      <c r="F175" s="18">
        <f t="shared" si="20"/>
        <v>0</v>
      </c>
      <c r="G175" s="30" t="str">
        <f t="shared" si="22"/>
        <v>-</v>
      </c>
      <c r="H175" s="2" t="str">
        <f t="shared" si="23"/>
        <v>합격</v>
      </c>
      <c r="I175" s="41"/>
      <c r="J175" s="41"/>
      <c r="K175" s="34">
        <f t="shared" si="24"/>
        <v>0</v>
      </c>
      <c r="L175" s="41"/>
      <c r="M175" s="30" t="str">
        <f t="shared" si="25"/>
        <v>-</v>
      </c>
      <c r="N175" s="30" t="str">
        <f t="shared" si="26"/>
        <v>합격</v>
      </c>
      <c r="O175" s="2">
        <f t="shared" si="21"/>
        <v>0</v>
      </c>
      <c r="P175" s="2"/>
    </row>
    <row r="176" spans="3:16" x14ac:dyDescent="0.45">
      <c r="C176" s="5"/>
      <c r="F176" s="18">
        <f t="shared" si="20"/>
        <v>0</v>
      </c>
      <c r="G176" s="30" t="str">
        <f t="shared" si="22"/>
        <v>-</v>
      </c>
      <c r="H176" s="2" t="str">
        <f t="shared" si="23"/>
        <v>합격</v>
      </c>
      <c r="I176" s="41"/>
      <c r="J176" s="41"/>
      <c r="K176" s="34">
        <f t="shared" si="24"/>
        <v>0</v>
      </c>
      <c r="L176" s="41"/>
      <c r="M176" s="30" t="str">
        <f t="shared" si="25"/>
        <v>-</v>
      </c>
      <c r="N176" s="30" t="str">
        <f t="shared" si="26"/>
        <v>합격</v>
      </c>
      <c r="O176" s="2">
        <f t="shared" si="21"/>
        <v>0</v>
      </c>
      <c r="P176" s="2"/>
    </row>
    <row r="177" spans="3:16" x14ac:dyDescent="0.45">
      <c r="C177" s="5"/>
      <c r="F177" s="18">
        <f t="shared" si="20"/>
        <v>0</v>
      </c>
      <c r="G177" s="30" t="str">
        <f t="shared" si="22"/>
        <v>-</v>
      </c>
      <c r="H177" s="2" t="str">
        <f t="shared" si="23"/>
        <v>합격</v>
      </c>
      <c r="I177" s="41"/>
      <c r="J177" s="41"/>
      <c r="K177" s="34">
        <f t="shared" si="24"/>
        <v>0</v>
      </c>
      <c r="L177" s="41"/>
      <c r="M177" s="30" t="str">
        <f t="shared" si="25"/>
        <v>-</v>
      </c>
      <c r="N177" s="30" t="str">
        <f t="shared" si="26"/>
        <v>합격</v>
      </c>
      <c r="O177" s="2">
        <f t="shared" si="21"/>
        <v>0</v>
      </c>
      <c r="P177" s="2"/>
    </row>
    <row r="178" spans="3:16" x14ac:dyDescent="0.45">
      <c r="C178" s="5"/>
      <c r="F178" s="18">
        <f t="shared" si="20"/>
        <v>0</v>
      </c>
      <c r="G178" s="30" t="str">
        <f t="shared" si="22"/>
        <v>-</v>
      </c>
      <c r="H178" s="2" t="str">
        <f t="shared" si="23"/>
        <v>합격</v>
      </c>
      <c r="I178" s="41"/>
      <c r="J178" s="41"/>
      <c r="K178" s="34">
        <f t="shared" si="24"/>
        <v>0</v>
      </c>
      <c r="L178" s="41"/>
      <c r="M178" s="30" t="str">
        <f t="shared" si="25"/>
        <v>-</v>
      </c>
      <c r="N178" s="30" t="str">
        <f t="shared" si="26"/>
        <v>합격</v>
      </c>
      <c r="O178" s="2">
        <f t="shared" si="21"/>
        <v>0</v>
      </c>
      <c r="P178" s="2"/>
    </row>
    <row r="179" spans="3:16" x14ac:dyDescent="0.45">
      <c r="C179" s="5"/>
      <c r="F179" s="18">
        <f t="shared" si="20"/>
        <v>0</v>
      </c>
      <c r="G179" s="30" t="str">
        <f t="shared" si="22"/>
        <v>-</v>
      </c>
      <c r="H179" s="2" t="str">
        <f t="shared" si="23"/>
        <v>합격</v>
      </c>
      <c r="I179" s="41"/>
      <c r="J179" s="41"/>
      <c r="K179" s="34">
        <f t="shared" si="24"/>
        <v>0</v>
      </c>
      <c r="L179" s="41"/>
      <c r="M179" s="30" t="str">
        <f t="shared" si="25"/>
        <v>-</v>
      </c>
      <c r="N179" s="30" t="str">
        <f t="shared" si="26"/>
        <v>합격</v>
      </c>
      <c r="O179" s="2">
        <f t="shared" si="21"/>
        <v>0</v>
      </c>
      <c r="P179" s="2"/>
    </row>
    <row r="180" spans="3:16" x14ac:dyDescent="0.45">
      <c r="C180" s="5"/>
      <c r="F180" s="18">
        <f t="shared" si="20"/>
        <v>0</v>
      </c>
      <c r="G180" s="30" t="str">
        <f t="shared" si="22"/>
        <v>-</v>
      </c>
      <c r="H180" s="2" t="str">
        <f t="shared" si="23"/>
        <v>합격</v>
      </c>
      <c r="I180" s="41"/>
      <c r="J180" s="41"/>
      <c r="K180" s="34">
        <f t="shared" si="24"/>
        <v>0</v>
      </c>
      <c r="L180" s="41"/>
      <c r="M180" s="30" t="str">
        <f t="shared" si="25"/>
        <v>-</v>
      </c>
      <c r="N180" s="30" t="str">
        <f t="shared" si="26"/>
        <v>합격</v>
      </c>
      <c r="O180" s="2">
        <f t="shared" si="21"/>
        <v>0</v>
      </c>
      <c r="P180" s="2"/>
    </row>
    <row r="181" spans="3:16" x14ac:dyDescent="0.45">
      <c r="C181" s="5"/>
      <c r="F181" s="18">
        <f t="shared" si="20"/>
        <v>0</v>
      </c>
      <c r="G181" s="30" t="str">
        <f t="shared" si="22"/>
        <v>-</v>
      </c>
      <c r="H181" s="2" t="str">
        <f t="shared" si="23"/>
        <v>합격</v>
      </c>
      <c r="I181" s="41"/>
      <c r="J181" s="41"/>
      <c r="K181" s="34">
        <f t="shared" si="24"/>
        <v>0</v>
      </c>
      <c r="L181" s="41"/>
      <c r="M181" s="30" t="str">
        <f t="shared" si="25"/>
        <v>-</v>
      </c>
      <c r="N181" s="30" t="str">
        <f t="shared" si="26"/>
        <v>합격</v>
      </c>
      <c r="O181" s="2">
        <f t="shared" si="21"/>
        <v>0</v>
      </c>
      <c r="P181" s="2"/>
    </row>
    <row r="182" spans="3:16" x14ac:dyDescent="0.45">
      <c r="C182" s="5"/>
      <c r="F182" s="18">
        <f t="shared" si="20"/>
        <v>0</v>
      </c>
      <c r="G182" s="30" t="str">
        <f t="shared" si="22"/>
        <v>-</v>
      </c>
      <c r="H182" s="2" t="str">
        <f t="shared" si="23"/>
        <v>합격</v>
      </c>
      <c r="I182" s="41"/>
      <c r="J182" s="41"/>
      <c r="K182" s="34">
        <f t="shared" si="24"/>
        <v>0</v>
      </c>
      <c r="L182" s="41"/>
      <c r="M182" s="30" t="str">
        <f t="shared" si="25"/>
        <v>-</v>
      </c>
      <c r="N182" s="30" t="str">
        <f t="shared" si="26"/>
        <v>합격</v>
      </c>
      <c r="O182" s="2">
        <f t="shared" si="21"/>
        <v>0</v>
      </c>
      <c r="P182" s="2"/>
    </row>
    <row r="183" spans="3:16" x14ac:dyDescent="0.45">
      <c r="C183" s="5"/>
      <c r="F183" s="18">
        <f t="shared" si="20"/>
        <v>0</v>
      </c>
      <c r="G183" s="30" t="str">
        <f t="shared" si="22"/>
        <v>-</v>
      </c>
      <c r="H183" s="2" t="str">
        <f t="shared" si="23"/>
        <v>합격</v>
      </c>
      <c r="I183" s="41"/>
      <c r="J183" s="41"/>
      <c r="K183" s="34">
        <f t="shared" si="24"/>
        <v>0</v>
      </c>
      <c r="L183" s="41"/>
      <c r="M183" s="30" t="str">
        <f t="shared" si="25"/>
        <v>-</v>
      </c>
      <c r="N183" s="30" t="str">
        <f t="shared" si="26"/>
        <v>합격</v>
      </c>
      <c r="O183" s="2">
        <f t="shared" si="21"/>
        <v>0</v>
      </c>
      <c r="P183" s="2"/>
    </row>
    <row r="184" spans="3:16" x14ac:dyDescent="0.45">
      <c r="C184" s="5"/>
      <c r="F184" s="18">
        <f t="shared" si="20"/>
        <v>0</v>
      </c>
      <c r="G184" s="30" t="str">
        <f t="shared" si="22"/>
        <v>-</v>
      </c>
      <c r="H184" s="2" t="str">
        <f t="shared" si="23"/>
        <v>합격</v>
      </c>
      <c r="I184" s="41"/>
      <c r="J184" s="41"/>
      <c r="K184" s="34">
        <f t="shared" si="24"/>
        <v>0</v>
      </c>
      <c r="L184" s="41"/>
      <c r="M184" s="30" t="str">
        <f t="shared" si="25"/>
        <v>-</v>
      </c>
      <c r="N184" s="30" t="str">
        <f t="shared" si="26"/>
        <v>합격</v>
      </c>
      <c r="O184" s="2">
        <f t="shared" si="21"/>
        <v>0</v>
      </c>
      <c r="P184" s="2"/>
    </row>
    <row r="185" spans="3:16" x14ac:dyDescent="0.45">
      <c r="C185" s="5"/>
      <c r="F185" s="18">
        <f t="shared" si="20"/>
        <v>0</v>
      </c>
      <c r="G185" s="30" t="str">
        <f t="shared" si="22"/>
        <v>-</v>
      </c>
      <c r="H185" s="2" t="str">
        <f t="shared" si="23"/>
        <v>합격</v>
      </c>
      <c r="I185" s="41"/>
      <c r="J185" s="41"/>
      <c r="K185" s="34">
        <f t="shared" si="24"/>
        <v>0</v>
      </c>
      <c r="L185" s="41"/>
      <c r="M185" s="30" t="str">
        <f t="shared" si="25"/>
        <v>-</v>
      </c>
      <c r="N185" s="30" t="str">
        <f t="shared" si="26"/>
        <v>합격</v>
      </c>
      <c r="O185" s="2">
        <f t="shared" si="21"/>
        <v>0</v>
      </c>
      <c r="P185" s="2"/>
    </row>
    <row r="186" spans="3:16" x14ac:dyDescent="0.45">
      <c r="C186" s="5"/>
      <c r="F186" s="18">
        <f t="shared" si="20"/>
        <v>0</v>
      </c>
      <c r="G186" s="30" t="str">
        <f t="shared" si="22"/>
        <v>-</v>
      </c>
      <c r="H186" s="2" t="str">
        <f t="shared" si="23"/>
        <v>합격</v>
      </c>
      <c r="I186" s="41"/>
      <c r="J186" s="41"/>
      <c r="K186" s="34">
        <f t="shared" si="24"/>
        <v>0</v>
      </c>
      <c r="L186" s="41"/>
      <c r="M186" s="30" t="str">
        <f t="shared" si="25"/>
        <v>-</v>
      </c>
      <c r="N186" s="30" t="str">
        <f t="shared" si="26"/>
        <v>합격</v>
      </c>
      <c r="O186" s="2">
        <f t="shared" si="21"/>
        <v>0</v>
      </c>
      <c r="P186" s="2"/>
    </row>
    <row r="187" spans="3:16" x14ac:dyDescent="0.45">
      <c r="C187" s="5"/>
      <c r="F187" s="18">
        <f t="shared" si="20"/>
        <v>0</v>
      </c>
      <c r="G187" s="30" t="str">
        <f t="shared" si="22"/>
        <v>-</v>
      </c>
      <c r="H187" s="2" t="str">
        <f t="shared" si="23"/>
        <v>합격</v>
      </c>
      <c r="I187" s="41"/>
      <c r="J187" s="41"/>
      <c r="K187" s="34">
        <f t="shared" si="24"/>
        <v>0</v>
      </c>
      <c r="L187" s="41"/>
      <c r="M187" s="30" t="str">
        <f t="shared" si="25"/>
        <v>-</v>
      </c>
      <c r="N187" s="30" t="str">
        <f t="shared" si="26"/>
        <v>합격</v>
      </c>
      <c r="O187" s="2">
        <f t="shared" si="21"/>
        <v>0</v>
      </c>
      <c r="P187" s="2"/>
    </row>
    <row r="188" spans="3:16" x14ac:dyDescent="0.45">
      <c r="C188" s="5"/>
      <c r="F188" s="18">
        <f t="shared" si="20"/>
        <v>0</v>
      </c>
      <c r="G188" s="30" t="str">
        <f t="shared" si="22"/>
        <v>-</v>
      </c>
      <c r="H188" s="2" t="str">
        <f t="shared" si="23"/>
        <v>합격</v>
      </c>
      <c r="I188" s="41"/>
      <c r="J188" s="41"/>
      <c r="K188" s="34">
        <f t="shared" si="24"/>
        <v>0</v>
      </c>
      <c r="L188" s="41"/>
      <c r="M188" s="30" t="str">
        <f t="shared" si="25"/>
        <v>-</v>
      </c>
      <c r="N188" s="30" t="str">
        <f t="shared" si="26"/>
        <v>합격</v>
      </c>
      <c r="O188" s="2">
        <f t="shared" si="21"/>
        <v>0</v>
      </c>
      <c r="P188" s="2"/>
    </row>
    <row r="189" spans="3:16" x14ac:dyDescent="0.45">
      <c r="C189" s="5"/>
      <c r="F189" s="18">
        <f t="shared" si="20"/>
        <v>0</v>
      </c>
      <c r="G189" s="30" t="str">
        <f t="shared" si="22"/>
        <v>-</v>
      </c>
      <c r="H189" s="2" t="str">
        <f t="shared" si="23"/>
        <v>합격</v>
      </c>
      <c r="I189" s="41"/>
      <c r="J189" s="41"/>
      <c r="K189" s="34">
        <f t="shared" si="24"/>
        <v>0</v>
      </c>
      <c r="L189" s="41"/>
      <c r="M189" s="30" t="str">
        <f t="shared" si="25"/>
        <v>-</v>
      </c>
      <c r="N189" s="30" t="str">
        <f t="shared" si="26"/>
        <v>합격</v>
      </c>
      <c r="O189" s="2">
        <f t="shared" si="21"/>
        <v>0</v>
      </c>
      <c r="P189" s="2"/>
    </row>
    <row r="190" spans="3:16" x14ac:dyDescent="0.45">
      <c r="C190" s="5"/>
      <c r="F190" s="18">
        <f t="shared" si="20"/>
        <v>0</v>
      </c>
      <c r="G190" s="30" t="str">
        <f t="shared" si="22"/>
        <v>-</v>
      </c>
      <c r="H190" s="2" t="str">
        <f t="shared" si="23"/>
        <v>합격</v>
      </c>
      <c r="I190" s="41"/>
      <c r="J190" s="41"/>
      <c r="K190" s="34">
        <f t="shared" si="24"/>
        <v>0</v>
      </c>
      <c r="L190" s="41"/>
      <c r="M190" s="30" t="str">
        <f t="shared" si="25"/>
        <v>-</v>
      </c>
      <c r="N190" s="30" t="str">
        <f t="shared" si="26"/>
        <v>합격</v>
      </c>
      <c r="O190" s="2">
        <f t="shared" ref="O190:O211" si="27">A190</f>
        <v>0</v>
      </c>
      <c r="P190" s="2"/>
    </row>
    <row r="191" spans="3:16" x14ac:dyDescent="0.45">
      <c r="C191" s="5"/>
      <c r="F191" s="18">
        <f t="shared" si="20"/>
        <v>0</v>
      </c>
      <c r="G191" s="30" t="str">
        <f t="shared" si="22"/>
        <v>-</v>
      </c>
      <c r="H191" s="2" t="str">
        <f t="shared" si="23"/>
        <v>합격</v>
      </c>
      <c r="I191" s="41"/>
      <c r="J191" s="41"/>
      <c r="K191" s="34">
        <f t="shared" si="24"/>
        <v>0</v>
      </c>
      <c r="L191" s="41"/>
      <c r="M191" s="30" t="str">
        <f t="shared" si="25"/>
        <v>-</v>
      </c>
      <c r="N191" s="30" t="str">
        <f t="shared" si="26"/>
        <v>합격</v>
      </c>
      <c r="O191" s="2">
        <f t="shared" si="27"/>
        <v>0</v>
      </c>
      <c r="P191" s="2"/>
    </row>
    <row r="192" spans="3:16" x14ac:dyDescent="0.45">
      <c r="C192" s="5"/>
      <c r="F192" s="18">
        <f t="shared" si="20"/>
        <v>0</v>
      </c>
      <c r="G192" s="30" t="str">
        <f t="shared" si="22"/>
        <v>-</v>
      </c>
      <c r="H192" s="2" t="str">
        <f t="shared" si="23"/>
        <v>합격</v>
      </c>
      <c r="I192" s="41"/>
      <c r="J192" s="41"/>
      <c r="K192" s="34">
        <f t="shared" si="24"/>
        <v>0</v>
      </c>
      <c r="L192" s="41"/>
      <c r="M192" s="30" t="str">
        <f t="shared" si="25"/>
        <v>-</v>
      </c>
      <c r="N192" s="30" t="str">
        <f t="shared" si="26"/>
        <v>합격</v>
      </c>
      <c r="O192" s="2">
        <f t="shared" si="27"/>
        <v>0</v>
      </c>
      <c r="P192" s="2"/>
    </row>
    <row r="193" spans="3:16" x14ac:dyDescent="0.45">
      <c r="C193" s="5"/>
      <c r="F193" s="18">
        <f t="shared" si="20"/>
        <v>0</v>
      </c>
      <c r="G193" s="30" t="str">
        <f t="shared" si="22"/>
        <v>-</v>
      </c>
      <c r="H193" s="2" t="str">
        <f t="shared" si="23"/>
        <v>합격</v>
      </c>
      <c r="I193" s="41"/>
      <c r="J193" s="41"/>
      <c r="K193" s="34">
        <f t="shared" si="24"/>
        <v>0</v>
      </c>
      <c r="L193" s="41"/>
      <c r="M193" s="30" t="str">
        <f t="shared" si="25"/>
        <v>-</v>
      </c>
      <c r="N193" s="30" t="str">
        <f t="shared" si="26"/>
        <v>합격</v>
      </c>
      <c r="O193" s="2">
        <f t="shared" si="27"/>
        <v>0</v>
      </c>
      <c r="P193" s="2"/>
    </row>
    <row r="194" spans="3:16" x14ac:dyDescent="0.45">
      <c r="C194" s="5"/>
      <c r="F194" s="18">
        <f t="shared" si="20"/>
        <v>0</v>
      </c>
      <c r="G194" s="30" t="str">
        <f t="shared" si="22"/>
        <v>-</v>
      </c>
      <c r="H194" s="2" t="str">
        <f t="shared" si="23"/>
        <v>합격</v>
      </c>
      <c r="I194" s="41"/>
      <c r="J194" s="41"/>
      <c r="K194" s="34">
        <f t="shared" si="24"/>
        <v>0</v>
      </c>
      <c r="L194" s="41"/>
      <c r="M194" s="30" t="str">
        <f t="shared" si="25"/>
        <v>-</v>
      </c>
      <c r="N194" s="30" t="str">
        <f t="shared" si="26"/>
        <v>합격</v>
      </c>
      <c r="O194" s="2">
        <f t="shared" si="27"/>
        <v>0</v>
      </c>
      <c r="P194" s="2"/>
    </row>
    <row r="195" spans="3:16" x14ac:dyDescent="0.45">
      <c r="C195" s="5"/>
      <c r="F195" s="18">
        <f t="shared" si="20"/>
        <v>0</v>
      </c>
      <c r="G195" s="30" t="str">
        <f t="shared" si="22"/>
        <v>-</v>
      </c>
      <c r="H195" s="2" t="str">
        <f t="shared" si="23"/>
        <v>합격</v>
      </c>
      <c r="I195" s="41"/>
      <c r="J195" s="41"/>
      <c r="K195" s="34">
        <f t="shared" si="24"/>
        <v>0</v>
      </c>
      <c r="L195" s="41"/>
      <c r="M195" s="30" t="str">
        <f t="shared" si="25"/>
        <v>-</v>
      </c>
      <c r="N195" s="30" t="str">
        <f t="shared" si="26"/>
        <v>합격</v>
      </c>
      <c r="O195" s="2">
        <f t="shared" si="27"/>
        <v>0</v>
      </c>
      <c r="P195" s="2"/>
    </row>
    <row r="196" spans="3:16" x14ac:dyDescent="0.45">
      <c r="C196" s="5"/>
      <c r="F196" s="18">
        <f t="shared" si="20"/>
        <v>0</v>
      </c>
      <c r="G196" s="30" t="str">
        <f t="shared" si="22"/>
        <v>-</v>
      </c>
      <c r="H196" s="2" t="str">
        <f t="shared" si="23"/>
        <v>합격</v>
      </c>
      <c r="I196" s="41"/>
      <c r="J196" s="41"/>
      <c r="K196" s="34">
        <f t="shared" si="24"/>
        <v>0</v>
      </c>
      <c r="L196" s="41"/>
      <c r="M196" s="30" t="str">
        <f t="shared" si="25"/>
        <v>-</v>
      </c>
      <c r="N196" s="30" t="str">
        <f t="shared" si="26"/>
        <v>합격</v>
      </c>
      <c r="O196" s="2">
        <f t="shared" si="27"/>
        <v>0</v>
      </c>
      <c r="P196" s="2"/>
    </row>
    <row r="197" spans="3:16" x14ac:dyDescent="0.45">
      <c r="C197" s="5"/>
      <c r="F197" s="18">
        <f t="shared" si="20"/>
        <v>0</v>
      </c>
      <c r="G197" s="30" t="str">
        <f t="shared" si="22"/>
        <v>-</v>
      </c>
      <c r="H197" s="2" t="str">
        <f t="shared" si="23"/>
        <v>합격</v>
      </c>
      <c r="I197" s="41"/>
      <c r="J197" s="41"/>
      <c r="K197" s="34">
        <f t="shared" si="24"/>
        <v>0</v>
      </c>
      <c r="L197" s="41"/>
      <c r="M197" s="30" t="str">
        <f t="shared" si="25"/>
        <v>-</v>
      </c>
      <c r="N197" s="30" t="str">
        <f t="shared" si="26"/>
        <v>합격</v>
      </c>
      <c r="O197" s="2">
        <f t="shared" si="27"/>
        <v>0</v>
      </c>
      <c r="P197" s="2"/>
    </row>
    <row r="198" spans="3:16" x14ac:dyDescent="0.45">
      <c r="C198" s="5"/>
      <c r="F198" s="18">
        <f t="shared" si="20"/>
        <v>0</v>
      </c>
      <c r="G198" s="30" t="str">
        <f t="shared" si="22"/>
        <v>-</v>
      </c>
      <c r="H198" s="2" t="str">
        <f t="shared" si="23"/>
        <v>합격</v>
      </c>
      <c r="I198" s="41"/>
      <c r="J198" s="41"/>
      <c r="K198" s="34">
        <f t="shared" si="24"/>
        <v>0</v>
      </c>
      <c r="L198" s="41"/>
      <c r="M198" s="30" t="str">
        <f t="shared" si="25"/>
        <v>-</v>
      </c>
      <c r="N198" s="30" t="str">
        <f t="shared" si="26"/>
        <v>합격</v>
      </c>
      <c r="O198" s="2">
        <f t="shared" si="27"/>
        <v>0</v>
      </c>
      <c r="P198" s="2"/>
    </row>
    <row r="199" spans="3:16" x14ac:dyDescent="0.45">
      <c r="C199" s="5"/>
      <c r="F199" s="18">
        <f t="shared" ref="F199:F211" si="28">E199*60*0.001</f>
        <v>0</v>
      </c>
      <c r="G199" s="30" t="str">
        <f t="shared" si="22"/>
        <v>-</v>
      </c>
      <c r="H199" s="2" t="str">
        <f t="shared" si="23"/>
        <v>합격</v>
      </c>
      <c r="I199" s="41"/>
      <c r="J199" s="41"/>
      <c r="K199" s="34">
        <f t="shared" si="24"/>
        <v>0</v>
      </c>
      <c r="L199" s="41"/>
      <c r="M199" s="30" t="str">
        <f t="shared" si="25"/>
        <v>-</v>
      </c>
      <c r="N199" s="30" t="str">
        <f t="shared" si="26"/>
        <v>합격</v>
      </c>
      <c r="O199" s="2">
        <f t="shared" si="27"/>
        <v>0</v>
      </c>
      <c r="P199" s="2"/>
    </row>
    <row r="200" spans="3:16" x14ac:dyDescent="0.45">
      <c r="C200" s="5"/>
      <c r="F200" s="18">
        <f t="shared" si="28"/>
        <v>0</v>
      </c>
      <c r="G200" s="30" t="str">
        <f t="shared" si="22"/>
        <v>-</v>
      </c>
      <c r="H200" s="2" t="str">
        <f t="shared" si="23"/>
        <v>합격</v>
      </c>
      <c r="I200" s="41"/>
      <c r="J200" s="41"/>
      <c r="K200" s="34">
        <f t="shared" si="24"/>
        <v>0</v>
      </c>
      <c r="L200" s="41"/>
      <c r="M200" s="30" t="str">
        <f t="shared" si="25"/>
        <v>-</v>
      </c>
      <c r="N200" s="30" t="str">
        <f t="shared" si="26"/>
        <v>합격</v>
      </c>
      <c r="O200" s="2">
        <f t="shared" si="27"/>
        <v>0</v>
      </c>
      <c r="P200" s="2"/>
    </row>
    <row r="201" spans="3:16" x14ac:dyDescent="0.45">
      <c r="C201" s="5"/>
      <c r="F201" s="18">
        <f t="shared" si="28"/>
        <v>0</v>
      </c>
      <c r="G201" s="30" t="str">
        <f t="shared" si="22"/>
        <v>-</v>
      </c>
      <c r="H201" s="2" t="str">
        <f t="shared" si="23"/>
        <v>합격</v>
      </c>
      <c r="I201" s="41"/>
      <c r="J201" s="41"/>
      <c r="K201" s="34">
        <f t="shared" si="24"/>
        <v>0</v>
      </c>
      <c r="L201" s="41"/>
      <c r="M201" s="30" t="str">
        <f t="shared" si="25"/>
        <v>-</v>
      </c>
      <c r="N201" s="30" t="str">
        <f t="shared" si="26"/>
        <v>합격</v>
      </c>
      <c r="O201" s="2">
        <f t="shared" si="27"/>
        <v>0</v>
      </c>
      <c r="P201" s="2"/>
    </row>
    <row r="202" spans="3:16" x14ac:dyDescent="0.45">
      <c r="C202" s="5"/>
      <c r="F202" s="18">
        <f t="shared" si="28"/>
        <v>0</v>
      </c>
      <c r="G202" s="30" t="str">
        <f t="shared" si="22"/>
        <v>-</v>
      </c>
      <c r="H202" s="2" t="str">
        <f t="shared" si="23"/>
        <v>합격</v>
      </c>
      <c r="I202" s="41"/>
      <c r="J202" s="41"/>
      <c r="K202" s="34">
        <f t="shared" si="24"/>
        <v>0</v>
      </c>
      <c r="L202" s="41"/>
      <c r="M202" s="30" t="str">
        <f t="shared" si="25"/>
        <v>-</v>
      </c>
      <c r="N202" s="30" t="str">
        <f t="shared" si="26"/>
        <v>합격</v>
      </c>
      <c r="O202" s="2">
        <f t="shared" si="27"/>
        <v>0</v>
      </c>
      <c r="P202" s="2"/>
    </row>
    <row r="203" spans="3:16" x14ac:dyDescent="0.45">
      <c r="C203" s="5"/>
      <c r="F203" s="18">
        <f t="shared" si="28"/>
        <v>0</v>
      </c>
      <c r="G203" s="30" t="str">
        <f t="shared" si="22"/>
        <v>-</v>
      </c>
      <c r="H203" s="2" t="str">
        <f t="shared" si="23"/>
        <v>합격</v>
      </c>
      <c r="I203" s="41"/>
      <c r="J203" s="41"/>
      <c r="K203" s="34">
        <f t="shared" si="24"/>
        <v>0</v>
      </c>
      <c r="L203" s="41"/>
      <c r="M203" s="30" t="str">
        <f t="shared" si="25"/>
        <v>-</v>
      </c>
      <c r="N203" s="30" t="str">
        <f t="shared" si="26"/>
        <v>합격</v>
      </c>
      <c r="O203" s="2">
        <f t="shared" si="27"/>
        <v>0</v>
      </c>
      <c r="P203" s="2"/>
    </row>
    <row r="204" spans="3:16" x14ac:dyDescent="0.45">
      <c r="C204" s="5"/>
      <c r="F204" s="18">
        <f t="shared" si="28"/>
        <v>0</v>
      </c>
      <c r="G204" s="30" t="str">
        <f t="shared" si="22"/>
        <v>-</v>
      </c>
      <c r="H204" s="2" t="str">
        <f t="shared" si="23"/>
        <v>합격</v>
      </c>
      <c r="I204" s="41"/>
      <c r="J204" s="41"/>
      <c r="K204" s="34">
        <f t="shared" si="24"/>
        <v>0</v>
      </c>
      <c r="L204" s="41"/>
      <c r="M204" s="30" t="str">
        <f t="shared" si="25"/>
        <v>-</v>
      </c>
      <c r="N204" s="30" t="str">
        <f t="shared" si="26"/>
        <v>합격</v>
      </c>
      <c r="O204" s="2">
        <f t="shared" si="27"/>
        <v>0</v>
      </c>
      <c r="P204" s="2"/>
    </row>
    <row r="205" spans="3:16" x14ac:dyDescent="0.45">
      <c r="C205" s="5"/>
      <c r="F205" s="18">
        <f t="shared" si="28"/>
        <v>0</v>
      </c>
      <c r="G205" s="30" t="str">
        <f t="shared" si="22"/>
        <v>-</v>
      </c>
      <c r="H205" s="2" t="str">
        <f t="shared" si="23"/>
        <v>합격</v>
      </c>
      <c r="I205" s="41"/>
      <c r="J205" s="41"/>
      <c r="K205" s="34">
        <f t="shared" si="24"/>
        <v>0</v>
      </c>
      <c r="L205" s="41"/>
      <c r="M205" s="30" t="str">
        <f t="shared" si="25"/>
        <v>-</v>
      </c>
      <c r="N205" s="30" t="str">
        <f t="shared" si="26"/>
        <v>합격</v>
      </c>
      <c r="O205" s="2">
        <f t="shared" si="27"/>
        <v>0</v>
      </c>
      <c r="P205" s="2"/>
    </row>
    <row r="206" spans="3:16" x14ac:dyDescent="0.45">
      <c r="C206" s="5"/>
      <c r="F206" s="18">
        <f t="shared" si="28"/>
        <v>0</v>
      </c>
      <c r="G206" s="30" t="str">
        <f t="shared" si="22"/>
        <v>-</v>
      </c>
      <c r="H206" s="2" t="str">
        <f t="shared" si="23"/>
        <v>합격</v>
      </c>
      <c r="I206" s="41"/>
      <c r="J206" s="41"/>
      <c r="K206" s="34">
        <f t="shared" si="24"/>
        <v>0</v>
      </c>
      <c r="L206" s="41"/>
      <c r="M206" s="30" t="str">
        <f t="shared" si="25"/>
        <v>-</v>
      </c>
      <c r="N206" s="30" t="str">
        <f t="shared" si="26"/>
        <v>합격</v>
      </c>
      <c r="O206" s="2">
        <f t="shared" si="27"/>
        <v>0</v>
      </c>
      <c r="P206" s="2"/>
    </row>
    <row r="207" spans="3:16" x14ac:dyDescent="0.45">
      <c r="C207" s="5"/>
      <c r="F207" s="18">
        <f t="shared" si="28"/>
        <v>0</v>
      </c>
      <c r="G207" s="30" t="str">
        <f t="shared" si="22"/>
        <v>-</v>
      </c>
      <c r="H207" s="2" t="str">
        <f t="shared" si="23"/>
        <v>합격</v>
      </c>
      <c r="I207" s="41"/>
      <c r="J207" s="41"/>
      <c r="K207" s="34">
        <f t="shared" si="24"/>
        <v>0</v>
      </c>
      <c r="L207" s="41"/>
      <c r="M207" s="30" t="str">
        <f t="shared" si="25"/>
        <v>-</v>
      </c>
      <c r="N207" s="30" t="str">
        <f t="shared" si="26"/>
        <v>합격</v>
      </c>
      <c r="O207" s="2">
        <f t="shared" si="27"/>
        <v>0</v>
      </c>
      <c r="P207" s="2"/>
    </row>
    <row r="208" spans="3:16" x14ac:dyDescent="0.45">
      <c r="C208" s="5"/>
      <c r="F208" s="18">
        <f t="shared" si="28"/>
        <v>0</v>
      </c>
      <c r="G208" s="30" t="str">
        <f t="shared" si="22"/>
        <v>-</v>
      </c>
      <c r="H208" s="2" t="str">
        <f t="shared" si="23"/>
        <v>합격</v>
      </c>
      <c r="I208" s="41"/>
      <c r="J208" s="41"/>
      <c r="K208" s="34">
        <f t="shared" si="24"/>
        <v>0</v>
      </c>
      <c r="L208" s="41"/>
      <c r="M208" s="30" t="str">
        <f t="shared" si="25"/>
        <v>-</v>
      </c>
      <c r="N208" s="30" t="str">
        <f t="shared" si="26"/>
        <v>합격</v>
      </c>
      <c r="O208" s="2">
        <f t="shared" si="27"/>
        <v>0</v>
      </c>
      <c r="P208" s="2"/>
    </row>
    <row r="209" spans="3:16" x14ac:dyDescent="0.45">
      <c r="C209" s="5"/>
      <c r="F209" s="18">
        <f t="shared" si="28"/>
        <v>0</v>
      </c>
      <c r="G209" s="30" t="str">
        <f t="shared" si="22"/>
        <v>-</v>
      </c>
      <c r="H209" s="2" t="str">
        <f t="shared" si="23"/>
        <v>합격</v>
      </c>
      <c r="I209" s="41"/>
      <c r="J209" s="41"/>
      <c r="K209" s="34">
        <f t="shared" si="24"/>
        <v>0</v>
      </c>
      <c r="L209" s="41"/>
      <c r="M209" s="30" t="str">
        <f t="shared" si="25"/>
        <v>-</v>
      </c>
      <c r="N209" s="30" t="str">
        <f t="shared" si="26"/>
        <v>합격</v>
      </c>
      <c r="O209" s="2">
        <f t="shared" si="27"/>
        <v>0</v>
      </c>
      <c r="P209" s="2"/>
    </row>
    <row r="210" spans="3:16" x14ac:dyDescent="0.45">
      <c r="C210" s="5"/>
      <c r="F210" s="18">
        <f t="shared" si="28"/>
        <v>0</v>
      </c>
      <c r="G210" s="30" t="str">
        <f t="shared" si="22"/>
        <v>-</v>
      </c>
      <c r="H210" s="2" t="str">
        <f t="shared" si="23"/>
        <v>합격</v>
      </c>
      <c r="I210" s="41"/>
      <c r="J210" s="41"/>
      <c r="K210" s="34">
        <f t="shared" si="24"/>
        <v>0</v>
      </c>
      <c r="L210" s="41"/>
      <c r="M210" s="30" t="str">
        <f t="shared" si="25"/>
        <v>-</v>
      </c>
      <c r="N210" s="30" t="str">
        <f t="shared" si="26"/>
        <v>합격</v>
      </c>
      <c r="O210" s="2">
        <f t="shared" si="27"/>
        <v>0</v>
      </c>
      <c r="P210" s="2"/>
    </row>
    <row r="211" spans="3:16" x14ac:dyDescent="0.45">
      <c r="C211" s="5"/>
      <c r="F211" s="18">
        <f t="shared" si="28"/>
        <v>0</v>
      </c>
      <c r="G211" s="30" t="str">
        <f t="shared" si="22"/>
        <v>-</v>
      </c>
      <c r="H211" s="2" t="str">
        <f t="shared" si="23"/>
        <v>합격</v>
      </c>
      <c r="I211" s="41"/>
      <c r="J211" s="41"/>
      <c r="K211" s="34">
        <f t="shared" si="24"/>
        <v>0</v>
      </c>
      <c r="L211" s="41"/>
      <c r="M211" s="30" t="str">
        <f t="shared" si="25"/>
        <v>-</v>
      </c>
      <c r="N211" s="30" t="str">
        <f t="shared" si="26"/>
        <v>합격</v>
      </c>
      <c r="O211" s="2">
        <f t="shared" si="27"/>
        <v>0</v>
      </c>
      <c r="P211" s="2"/>
    </row>
    <row r="212" spans="3:16" x14ac:dyDescent="0.45">
      <c r="K212" s="34">
        <f t="shared" si="24"/>
        <v>0</v>
      </c>
      <c r="M212" s="30" t="str">
        <f t="shared" si="25"/>
        <v>-</v>
      </c>
      <c r="N212" s="30" t="str">
        <f t="shared" si="26"/>
        <v>합격</v>
      </c>
    </row>
  </sheetData>
  <mergeCells count="23">
    <mergeCell ref="A18:O18"/>
    <mergeCell ref="O3:O4"/>
    <mergeCell ref="C3:C4"/>
    <mergeCell ref="A29:O29"/>
    <mergeCell ref="A22:O22"/>
    <mergeCell ref="A25:O25"/>
    <mergeCell ref="A20:O20"/>
    <mergeCell ref="N3:N4"/>
    <mergeCell ref="M3:M4"/>
    <mergeCell ref="P3:P4"/>
    <mergeCell ref="G3:G4"/>
    <mergeCell ref="A16:O16"/>
    <mergeCell ref="A3:A4"/>
    <mergeCell ref="B3:B4"/>
    <mergeCell ref="E3:E4"/>
    <mergeCell ref="A11:O11"/>
    <mergeCell ref="F3:F4"/>
    <mergeCell ref="H3:H4"/>
    <mergeCell ref="D3:D4"/>
    <mergeCell ref="I3:I4"/>
    <mergeCell ref="J3:J4"/>
    <mergeCell ref="K3:K4"/>
    <mergeCell ref="L3:L4"/>
  </mergeCells>
  <phoneticPr fontId="1" type="noConversion"/>
  <conditionalFormatting sqref="H5:H10 H12:H15 H17 H19 H21 H23:H24 H26:H28 H30:H1048576">
    <cfRule type="containsText" dxfId="15" priority="5" operator="containsText" text="불합격">
      <formula>NOT(ISERROR(SEARCH("불합격",H5)))</formula>
    </cfRule>
    <cfRule type="containsText" dxfId="14" priority="6" operator="containsText" text="합격">
      <formula>NOT(ISERROR(SEARCH("합격",H5)))</formula>
    </cfRule>
  </conditionalFormatting>
  <conditionalFormatting sqref="N5:N6">
    <cfRule type="containsText" dxfId="13" priority="2" operator="containsText" text="불합격">
      <formula>NOT(ISERROR(SEARCH("불합격",N5)))</formula>
    </cfRule>
    <cfRule type="containsText" dxfId="12" priority="4" operator="containsText" text="합격">
      <formula>NOT(ISERROR(SEARCH("합격",N5)))</formula>
    </cfRule>
  </conditionalFormatting>
  <conditionalFormatting sqref="N31:N212">
    <cfRule type="containsText" dxfId="11" priority="1" operator="containsText" text="불합격">
      <formula>NOT(ISERROR(SEARCH("불합격",N31)))</formula>
    </cfRule>
    <cfRule type="containsText" dxfId="10" priority="3" operator="containsText" text="합격">
      <formula>NOT(ISERROR(SEARCH("합격",N31)))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4881-44A4-4609-B86B-02F306459519}">
  <dimension ref="A1:L215"/>
  <sheetViews>
    <sheetView topLeftCell="B1" workbookViewId="0">
      <pane ySplit="5" topLeftCell="A6" activePane="bottomLeft" state="frozen"/>
      <selection pane="bottomLeft" activeCell="J5" sqref="J5"/>
    </sheetView>
  </sheetViews>
  <sheetFormatPr defaultRowHeight="17" x14ac:dyDescent="0.45"/>
  <cols>
    <col min="1" max="1" width="16.75" style="1" hidden="1" customWidth="1"/>
    <col min="2" max="3" width="20.75" style="28" customWidth="1"/>
    <col min="4" max="5" width="20.75" style="28" hidden="1" customWidth="1"/>
    <col min="6" max="6" width="21.75" style="28" customWidth="1"/>
    <col min="7" max="7" width="21.75" style="2" customWidth="1"/>
    <col min="8" max="8" width="21.75" style="2" hidden="1" customWidth="1"/>
    <col min="9" max="9" width="24.58203125" hidden="1" customWidth="1"/>
    <col min="10" max="10" width="24.58203125" style="45" customWidth="1"/>
    <col min="11" max="11" width="25.25" style="50" customWidth="1"/>
    <col min="12" max="12" width="56" style="50" bestFit="1" customWidth="1"/>
  </cols>
  <sheetData>
    <row r="1" spans="1:12" x14ac:dyDescent="0.45">
      <c r="A1" s="3"/>
      <c r="B1" s="17"/>
      <c r="C1" s="1"/>
      <c r="D1" s="1"/>
      <c r="E1" s="1"/>
      <c r="F1" s="1"/>
      <c r="G1" s="1"/>
      <c r="H1" s="1"/>
      <c r="I1" s="1"/>
      <c r="J1" s="1"/>
      <c r="K1" s="19"/>
      <c r="L1" s="1"/>
    </row>
    <row r="2" spans="1:12" x14ac:dyDescent="0.45">
      <c r="B2" s="1"/>
      <c r="C2" s="1"/>
      <c r="D2" s="1"/>
      <c r="E2" s="10"/>
      <c r="F2" s="1"/>
      <c r="G2" s="1"/>
      <c r="H2" s="10" t="s">
        <v>28</v>
      </c>
      <c r="J2"/>
      <c r="K2" s="1"/>
      <c r="L2" s="1"/>
    </row>
    <row r="3" spans="1:12" x14ac:dyDescent="0.45">
      <c r="A3" s="95"/>
      <c r="B3" s="65" t="s">
        <v>16</v>
      </c>
      <c r="C3" s="65" t="s">
        <v>17</v>
      </c>
      <c r="D3" s="88" t="s">
        <v>232</v>
      </c>
      <c r="E3" s="88" t="s">
        <v>25</v>
      </c>
      <c r="F3" s="88" t="s">
        <v>26</v>
      </c>
      <c r="G3" s="88" t="s">
        <v>20</v>
      </c>
      <c r="H3" s="88" t="s">
        <v>0</v>
      </c>
      <c r="I3" s="88" t="s">
        <v>110</v>
      </c>
      <c r="J3" s="88" t="s">
        <v>110</v>
      </c>
      <c r="K3" s="88" t="s">
        <v>121</v>
      </c>
      <c r="L3" s="88" t="s">
        <v>59</v>
      </c>
    </row>
    <row r="4" spans="1:12" x14ac:dyDescent="0.45">
      <c r="A4" s="95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x14ac:dyDescent="0.45">
      <c r="B5" s="46">
        <v>5</v>
      </c>
      <c r="C5" s="46">
        <v>5.5</v>
      </c>
      <c r="D5" s="47" t="s">
        <v>15</v>
      </c>
      <c r="E5" s="47" t="s">
        <v>15</v>
      </c>
      <c r="F5" s="48">
        <v>300</v>
      </c>
      <c r="G5" s="5">
        <f t="shared" ref="G5" si="0">IFERROR(POWER((B5/C5)*F5^3,1/3),0)</f>
        <v>290.61879184543915</v>
      </c>
      <c r="H5" s="11"/>
      <c r="I5" s="20"/>
      <c r="J5" s="30">
        <f>G5/F5</f>
        <v>0.9687293061514638</v>
      </c>
      <c r="K5" s="28" t="s">
        <v>235</v>
      </c>
      <c r="L5" s="28" t="s">
        <v>234</v>
      </c>
    </row>
    <row r="6" spans="1:12" hidden="1" x14ac:dyDescent="0.45">
      <c r="B6" s="8"/>
      <c r="C6" s="8"/>
      <c r="D6" s="8"/>
      <c r="E6" s="8"/>
      <c r="F6" s="8"/>
      <c r="G6" s="11"/>
      <c r="H6" s="11"/>
      <c r="I6" s="20"/>
      <c r="J6" s="20"/>
      <c r="K6" s="2"/>
      <c r="L6" s="2"/>
    </row>
    <row r="7" spans="1:12" hidden="1" x14ac:dyDescent="0.45">
      <c r="A7" s="6" t="s">
        <v>2</v>
      </c>
      <c r="B7" s="4"/>
      <c r="C7" s="4"/>
      <c r="D7" s="4"/>
      <c r="E7" s="4"/>
      <c r="F7" s="16">
        <f>IFERROR(E7/60,"-")</f>
        <v>0</v>
      </c>
      <c r="G7" s="5">
        <f>IFERROR(POWER((B7/C7)*F7^3,1/3),0)</f>
        <v>0</v>
      </c>
      <c r="H7" s="2" t="str">
        <f>IF(OR(D7&lt;G7*0.9,D7&gt;G7*1.1),"불합격","합격")</f>
        <v>합격</v>
      </c>
      <c r="I7" s="20"/>
      <c r="J7" s="20"/>
      <c r="K7" s="2"/>
      <c r="L7" s="2"/>
    </row>
    <row r="8" spans="1:12" hidden="1" x14ac:dyDescent="0.45">
      <c r="A8" s="7" t="s">
        <v>1</v>
      </c>
      <c r="B8" s="2"/>
      <c r="C8" s="2"/>
      <c r="D8" s="5"/>
      <c r="E8" s="2"/>
      <c r="F8" s="5">
        <f>IFERROR(E8/60,"-")</f>
        <v>0</v>
      </c>
      <c r="G8" s="5">
        <f t="shared" ref="G8:G72" si="1">IFERROR(POWER((B8/C8)*F8^3,1/3),0)</f>
        <v>0</v>
      </c>
      <c r="H8" s="2" t="str">
        <f t="shared" ref="H8:H72" si="2">IF(OR(D8&lt;G8*0.9,D8&gt;G8*1.1),"불합격","합격")</f>
        <v>합격</v>
      </c>
      <c r="I8" s="20"/>
      <c r="J8" s="20"/>
      <c r="K8" s="2"/>
      <c r="L8" s="2"/>
    </row>
    <row r="9" spans="1:12" hidden="1" x14ac:dyDescent="0.45">
      <c r="A9" s="1" t="s">
        <v>22</v>
      </c>
      <c r="B9" s="2">
        <f>3*0.75</f>
        <v>2.25</v>
      </c>
      <c r="C9" s="2">
        <v>2.25</v>
      </c>
      <c r="D9" s="5">
        <v>200.09</v>
      </c>
      <c r="E9" s="2" t="s">
        <v>23</v>
      </c>
      <c r="F9" s="5">
        <v>280</v>
      </c>
      <c r="G9" s="5">
        <f t="shared" si="1"/>
        <v>279.99999999999989</v>
      </c>
      <c r="H9" s="2" t="str">
        <f t="shared" si="2"/>
        <v>불합격</v>
      </c>
      <c r="I9" s="30">
        <f>IFERROR(D9/G9,"-")</f>
        <v>0.71460714285714311</v>
      </c>
      <c r="J9" s="30"/>
      <c r="K9" s="2" t="str">
        <f t="shared" ref="K9:K12" si="3">A9</f>
        <v>남도학숙</v>
      </c>
      <c r="L9" s="2"/>
    </row>
    <row r="10" spans="1:12" hidden="1" x14ac:dyDescent="0.45">
      <c r="A10" s="1" t="s">
        <v>22</v>
      </c>
      <c r="B10" s="2">
        <v>1.9550000000000001</v>
      </c>
      <c r="C10" s="2">
        <f>5*0.75</f>
        <v>3.75</v>
      </c>
      <c r="D10" s="5">
        <v>192.45</v>
      </c>
      <c r="E10" s="2" t="s">
        <v>23</v>
      </c>
      <c r="F10" s="5">
        <v>350</v>
      </c>
      <c r="G10" s="5">
        <f t="shared" si="1"/>
        <v>281.69115403195843</v>
      </c>
      <c r="H10" s="2" t="str">
        <f t="shared" si="2"/>
        <v>불합격</v>
      </c>
      <c r="I10" s="30">
        <f t="shared" ref="I10:I74" si="4">IFERROR(D10/G10,"-")</f>
        <v>0.68319504267487985</v>
      </c>
      <c r="J10" s="30"/>
      <c r="K10" s="2" t="str">
        <f t="shared" si="3"/>
        <v>남도학숙</v>
      </c>
      <c r="L10" s="2"/>
    </row>
    <row r="11" spans="1:12" hidden="1" x14ac:dyDescent="0.45">
      <c r="A11" s="1" t="s">
        <v>27</v>
      </c>
      <c r="B11" s="2">
        <v>2.4209999999999998</v>
      </c>
      <c r="C11" s="2">
        <v>3.7</v>
      </c>
      <c r="D11" s="5">
        <v>134.69</v>
      </c>
      <c r="E11" s="2">
        <v>8880</v>
      </c>
      <c r="F11" s="5">
        <f t="shared" ref="F11:F43" si="5">IFERROR(E11/60,"-")</f>
        <v>148</v>
      </c>
      <c r="G11" s="5">
        <f t="shared" si="1"/>
        <v>128.48706355358604</v>
      </c>
      <c r="H11" s="2" t="str">
        <f t="shared" si="2"/>
        <v>합격</v>
      </c>
      <c r="I11" s="30">
        <f t="shared" si="4"/>
        <v>1.0482767391117707</v>
      </c>
      <c r="J11" s="30"/>
      <c r="K11" s="2" t="str">
        <f t="shared" si="3"/>
        <v>다산헤리움 그랑비스타1차</v>
      </c>
      <c r="L11" s="2"/>
    </row>
    <row r="12" spans="1:12" hidden="1" x14ac:dyDescent="0.45">
      <c r="A12" s="1" t="s">
        <v>27</v>
      </c>
      <c r="B12" s="2">
        <v>2.5670000000000002</v>
      </c>
      <c r="C12" s="2">
        <v>3.7</v>
      </c>
      <c r="D12" s="5">
        <v>95.167000000000002</v>
      </c>
      <c r="E12" s="2">
        <v>9300</v>
      </c>
      <c r="F12" s="5">
        <f t="shared" si="5"/>
        <v>155</v>
      </c>
      <c r="G12" s="5">
        <f t="shared" si="1"/>
        <v>137.21652385929966</v>
      </c>
      <c r="H12" s="2" t="str">
        <f t="shared" si="2"/>
        <v>불합격</v>
      </c>
      <c r="I12" s="30">
        <f t="shared" si="4"/>
        <v>0.69355349722736903</v>
      </c>
      <c r="J12" s="30"/>
      <c r="K12" s="2" t="str">
        <f t="shared" si="3"/>
        <v>다산헤리움 그랑비스타1차</v>
      </c>
      <c r="L12" s="2"/>
    </row>
    <row r="13" spans="1:12" hidden="1" x14ac:dyDescent="0.45">
      <c r="A13" s="94" t="s">
        <v>30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2"/>
    </row>
    <row r="14" spans="1:12" hidden="1" x14ac:dyDescent="0.45">
      <c r="A14" s="1" t="s">
        <v>35</v>
      </c>
      <c r="B14" s="2">
        <v>2.056</v>
      </c>
      <c r="C14" s="2">
        <v>2.25</v>
      </c>
      <c r="D14" s="5">
        <v>77.64</v>
      </c>
      <c r="E14" s="2" t="s">
        <v>23</v>
      </c>
      <c r="F14" s="5">
        <v>249</v>
      </c>
      <c r="G14" s="5">
        <f t="shared" si="1"/>
        <v>241.62741692133969</v>
      </c>
      <c r="H14" s="2" t="str">
        <f t="shared" si="2"/>
        <v>불합격</v>
      </c>
      <c r="I14" s="30">
        <f t="shared" si="4"/>
        <v>0.32132115216575452</v>
      </c>
      <c r="J14" s="30"/>
      <c r="K14" s="2" t="str">
        <f>A14</f>
        <v>F-9-#1</v>
      </c>
      <c r="L14" s="2"/>
    </row>
    <row r="15" spans="1:12" hidden="1" x14ac:dyDescent="0.45">
      <c r="A15" s="1" t="s">
        <v>36</v>
      </c>
      <c r="B15" s="2">
        <v>1.954</v>
      </c>
      <c r="C15" s="2">
        <v>2.25</v>
      </c>
      <c r="D15" s="5">
        <v>191.67</v>
      </c>
      <c r="E15" s="2" t="s">
        <v>23</v>
      </c>
      <c r="F15" s="5">
        <v>249</v>
      </c>
      <c r="G15" s="5">
        <f t="shared" si="1"/>
        <v>237.5636709128124</v>
      </c>
      <c r="H15" s="2" t="str">
        <f t="shared" si="2"/>
        <v>불합격</v>
      </c>
      <c r="I15" s="30">
        <f t="shared" si="4"/>
        <v>0.80681528140868086</v>
      </c>
      <c r="J15" s="30"/>
      <c r="K15" s="2" t="str">
        <f t="shared" ref="K15:K17" si="6">A15</f>
        <v>F-9-#2</v>
      </c>
      <c r="L15" s="2"/>
    </row>
    <row r="16" spans="1:12" hidden="1" x14ac:dyDescent="0.45">
      <c r="A16" s="1" t="s">
        <v>37</v>
      </c>
      <c r="B16" s="2">
        <v>1.6970000000000001</v>
      </c>
      <c r="C16" s="2">
        <v>2.25</v>
      </c>
      <c r="D16" s="5">
        <v>79.900000000000006</v>
      </c>
      <c r="E16" s="2" t="s">
        <v>23</v>
      </c>
      <c r="F16" s="5">
        <v>249</v>
      </c>
      <c r="G16" s="5">
        <f t="shared" si="1"/>
        <v>226.65525284606531</v>
      </c>
      <c r="H16" s="2" t="str">
        <f t="shared" si="2"/>
        <v>불합격</v>
      </c>
      <c r="I16" s="30">
        <f t="shared" si="4"/>
        <v>0.35251775106339456</v>
      </c>
      <c r="J16" s="30"/>
      <c r="K16" s="2" t="str">
        <f t="shared" si="6"/>
        <v>F-9-#3</v>
      </c>
      <c r="L16" s="2"/>
    </row>
    <row r="17" spans="1:12" hidden="1" x14ac:dyDescent="0.45">
      <c r="A17" s="1" t="s">
        <v>38</v>
      </c>
      <c r="B17" s="2">
        <v>3.7170000000000001</v>
      </c>
      <c r="C17" s="2">
        <v>3.75</v>
      </c>
      <c r="D17" s="5">
        <v>390.79</v>
      </c>
      <c r="E17" s="2" t="s">
        <v>23</v>
      </c>
      <c r="F17" s="5">
        <v>358</v>
      </c>
      <c r="G17" s="5">
        <f t="shared" si="1"/>
        <v>356.94677112694103</v>
      </c>
      <c r="H17" s="2" t="str">
        <f t="shared" si="2"/>
        <v>합격</v>
      </c>
      <c r="I17" s="30">
        <f t="shared" si="4"/>
        <v>1.094813097107477</v>
      </c>
      <c r="J17" s="30"/>
      <c r="K17" s="2" t="str">
        <f t="shared" si="6"/>
        <v>F-13-#1</v>
      </c>
      <c r="L17" s="2"/>
    </row>
    <row r="18" spans="1:12" hidden="1" x14ac:dyDescent="0.45">
      <c r="A18" s="93" t="s">
        <v>39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2"/>
    </row>
    <row r="19" spans="1:12" hidden="1" x14ac:dyDescent="0.45">
      <c r="A19" s="1" t="s">
        <v>41</v>
      </c>
      <c r="B19" s="2">
        <v>3.4870000000000001</v>
      </c>
      <c r="C19" s="2">
        <v>5.5</v>
      </c>
      <c r="D19" s="5">
        <v>486.62</v>
      </c>
      <c r="E19" s="2" t="s">
        <v>23</v>
      </c>
      <c r="F19" s="5">
        <v>584</v>
      </c>
      <c r="G19" s="5">
        <f t="shared" si="1"/>
        <v>501.69826570455456</v>
      </c>
      <c r="H19" s="2" t="str">
        <f t="shared" si="2"/>
        <v>합격</v>
      </c>
      <c r="I19" s="30">
        <f t="shared" si="4"/>
        <v>0.96994554947607892</v>
      </c>
      <c r="J19" s="30"/>
      <c r="K19" s="2" t="str">
        <f>A19</f>
        <v>OF-1-#1</v>
      </c>
      <c r="L19" s="2"/>
    </row>
    <row r="20" spans="1:12" hidden="1" x14ac:dyDescent="0.45">
      <c r="A20" s="1" t="s">
        <v>40</v>
      </c>
      <c r="B20" s="2">
        <v>5.96</v>
      </c>
      <c r="C20" s="2">
        <v>5.5</v>
      </c>
      <c r="D20" s="5">
        <v>717</v>
      </c>
      <c r="E20" s="2" t="s">
        <v>23</v>
      </c>
      <c r="F20" s="5">
        <v>584</v>
      </c>
      <c r="G20" s="5">
        <f t="shared" si="1"/>
        <v>599.84729377097301</v>
      </c>
      <c r="H20" s="2" t="str">
        <f t="shared" si="2"/>
        <v>불합격</v>
      </c>
      <c r="I20" s="30">
        <f t="shared" si="4"/>
        <v>1.1953042173326149</v>
      </c>
      <c r="J20" s="30"/>
      <c r="K20" s="2" t="str">
        <f t="shared" ref="K20:K24" si="7">A20</f>
        <v>OF-1-#2</v>
      </c>
      <c r="L20" s="2"/>
    </row>
    <row r="21" spans="1:12" hidden="1" x14ac:dyDescent="0.45">
      <c r="A21" s="1" t="s">
        <v>42</v>
      </c>
      <c r="B21" s="2">
        <v>9.5399999999999991</v>
      </c>
      <c r="C21" s="2">
        <v>7.5</v>
      </c>
      <c r="D21" s="5">
        <v>789.47</v>
      </c>
      <c r="E21" s="2" t="s">
        <v>23</v>
      </c>
      <c r="F21" s="5">
        <v>750</v>
      </c>
      <c r="G21" s="5">
        <f t="shared" si="1"/>
        <v>812.62522724657708</v>
      </c>
      <c r="H21" s="2" t="str">
        <f t="shared" si="2"/>
        <v>합격</v>
      </c>
      <c r="I21" s="30">
        <f t="shared" si="4"/>
        <v>0.97150565048905257</v>
      </c>
      <c r="J21" s="30"/>
      <c r="K21" s="2" t="str">
        <f t="shared" si="7"/>
        <v>OF-2-#1</v>
      </c>
      <c r="L21" s="2"/>
    </row>
    <row r="22" spans="1:12" hidden="1" x14ac:dyDescent="0.45">
      <c r="A22" s="1" t="s">
        <v>43</v>
      </c>
      <c r="B22" s="2">
        <v>9.4339999999999993</v>
      </c>
      <c r="C22" s="2">
        <v>7.5</v>
      </c>
      <c r="D22" s="5">
        <v>757.3</v>
      </c>
      <c r="E22" s="2" t="s">
        <v>23</v>
      </c>
      <c r="F22" s="5">
        <v>750</v>
      </c>
      <c r="G22" s="5">
        <f t="shared" si="1"/>
        <v>809.60428773695492</v>
      </c>
      <c r="H22" s="2" t="str">
        <f t="shared" si="2"/>
        <v>합격</v>
      </c>
      <c r="I22" s="30">
        <f t="shared" si="4"/>
        <v>0.93539524366507687</v>
      </c>
      <c r="J22" s="30"/>
      <c r="K22" s="2" t="str">
        <f t="shared" si="7"/>
        <v>OF-2-#2</v>
      </c>
      <c r="L22" s="2"/>
    </row>
    <row r="23" spans="1:12" hidden="1" x14ac:dyDescent="0.45">
      <c r="A23" s="1" t="s">
        <v>44</v>
      </c>
      <c r="B23" s="2">
        <v>9.0350000000000001</v>
      </c>
      <c r="C23" s="2">
        <v>7.5</v>
      </c>
      <c r="D23" s="5">
        <v>881.71</v>
      </c>
      <c r="E23" s="2" t="s">
        <v>23</v>
      </c>
      <c r="F23" s="5">
        <v>750</v>
      </c>
      <c r="G23" s="5">
        <f t="shared" si="1"/>
        <v>798.02573079261333</v>
      </c>
      <c r="H23" s="2" t="str">
        <f t="shared" si="2"/>
        <v>불합격</v>
      </c>
      <c r="I23" s="30">
        <f t="shared" si="4"/>
        <v>1.1048641240230062</v>
      </c>
      <c r="J23" s="30"/>
      <c r="K23" s="2" t="str">
        <f t="shared" si="7"/>
        <v>OF-3-#1</v>
      </c>
      <c r="L23" s="2"/>
    </row>
    <row r="24" spans="1:12" hidden="1" x14ac:dyDescent="0.45">
      <c r="A24" s="1" t="s">
        <v>45</v>
      </c>
      <c r="B24" s="2">
        <v>9.5839999999999996</v>
      </c>
      <c r="C24" s="2">
        <v>7.5</v>
      </c>
      <c r="D24" s="5">
        <v>705.7</v>
      </c>
      <c r="E24" s="2" t="s">
        <v>23</v>
      </c>
      <c r="F24" s="5">
        <v>750</v>
      </c>
      <c r="G24" s="5">
        <f t="shared" si="1"/>
        <v>813.87263047443184</v>
      </c>
      <c r="H24" s="2" t="str">
        <f t="shared" si="2"/>
        <v>불합격</v>
      </c>
      <c r="I24" s="30">
        <f t="shared" si="4"/>
        <v>0.8670889935058087</v>
      </c>
      <c r="J24" s="30"/>
      <c r="K24" s="2" t="str">
        <f t="shared" si="7"/>
        <v>OF-3-#2</v>
      </c>
      <c r="L24" s="2"/>
    </row>
    <row r="25" spans="1:12" hidden="1" x14ac:dyDescent="0.45">
      <c r="A25" s="1" t="s">
        <v>46</v>
      </c>
      <c r="B25" s="2">
        <v>6.7140000000000004</v>
      </c>
      <c r="C25" s="2">
        <v>5.5</v>
      </c>
      <c r="D25" s="5">
        <v>521.34</v>
      </c>
      <c r="E25" s="2" t="s">
        <v>23</v>
      </c>
      <c r="F25" s="5">
        <v>334</v>
      </c>
      <c r="G25" s="5">
        <f t="shared" si="1"/>
        <v>356.95983260922191</v>
      </c>
      <c r="H25" s="2" t="str">
        <f t="shared" si="2"/>
        <v>불합격</v>
      </c>
      <c r="I25" s="30">
        <f t="shared" si="4"/>
        <v>1.4605004607639751</v>
      </c>
      <c r="J25" s="30"/>
      <c r="K25" s="2" t="str">
        <f>A25</f>
        <v>OF-4-#1</v>
      </c>
      <c r="L25" s="2"/>
    </row>
    <row r="26" spans="1:12" hidden="1" x14ac:dyDescent="0.45">
      <c r="A26" s="1" t="s">
        <v>47</v>
      </c>
      <c r="B26" s="2">
        <v>7.3280000000000003</v>
      </c>
      <c r="C26" s="2">
        <v>5.5</v>
      </c>
      <c r="D26" s="5">
        <v>462.49</v>
      </c>
      <c r="E26" s="2" t="s">
        <v>23</v>
      </c>
      <c r="F26" s="5">
        <v>334</v>
      </c>
      <c r="G26" s="5">
        <f t="shared" si="1"/>
        <v>367.5254267474192</v>
      </c>
      <c r="H26" s="2" t="str">
        <f t="shared" si="2"/>
        <v>불합격</v>
      </c>
      <c r="I26" s="30">
        <f t="shared" si="4"/>
        <v>1.2583891245104109</v>
      </c>
      <c r="J26" s="30"/>
      <c r="K26" s="2" t="str">
        <f>A26</f>
        <v>OF-4-#2</v>
      </c>
      <c r="L26" s="2"/>
    </row>
    <row r="27" spans="1:12" hidden="1" x14ac:dyDescent="0.45">
      <c r="A27" s="93" t="s">
        <v>93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1"/>
    </row>
    <row r="28" spans="1:12" hidden="1" x14ac:dyDescent="0.45">
      <c r="A28" s="1" t="s">
        <v>94</v>
      </c>
      <c r="B28" s="2">
        <v>4.0129999999999999</v>
      </c>
      <c r="C28" s="2">
        <v>5.5</v>
      </c>
      <c r="D28" s="5">
        <v>168.49</v>
      </c>
      <c r="E28" s="2">
        <v>8850</v>
      </c>
      <c r="F28" s="5">
        <f t="shared" si="5"/>
        <v>147.5</v>
      </c>
      <c r="G28" s="5">
        <f t="shared" si="1"/>
        <v>132.78861577677901</v>
      </c>
      <c r="H28" s="2" t="str">
        <f t="shared" si="2"/>
        <v>불합격</v>
      </c>
      <c r="I28" s="30">
        <f t="shared" si="4"/>
        <v>1.2688587723757578</v>
      </c>
      <c r="J28" s="30"/>
      <c r="K28" s="2" t="str">
        <f t="shared" ref="K28:K37" si="8">A28</f>
        <v>HV1-급기</v>
      </c>
      <c r="L28" s="2"/>
    </row>
    <row r="29" spans="1:12" hidden="1" x14ac:dyDescent="0.45">
      <c r="A29" s="1" t="s">
        <v>95</v>
      </c>
      <c r="B29" s="2">
        <v>1.6479999999999999</v>
      </c>
      <c r="C29" s="2">
        <v>2.2000000000000002</v>
      </c>
      <c r="D29" s="5">
        <v>115.63</v>
      </c>
      <c r="E29" s="2">
        <v>7950</v>
      </c>
      <c r="F29" s="5">
        <f t="shared" si="5"/>
        <v>132.5</v>
      </c>
      <c r="G29" s="5">
        <f t="shared" si="1"/>
        <v>120.33557951264339</v>
      </c>
      <c r="H29" s="2" t="str">
        <f t="shared" si="2"/>
        <v>합격</v>
      </c>
      <c r="I29" s="30">
        <f t="shared" si="4"/>
        <v>0.96089619103758928</v>
      </c>
      <c r="J29" s="30"/>
      <c r="K29" s="2" t="str">
        <f t="shared" si="8"/>
        <v>HV1-환기</v>
      </c>
      <c r="L29" s="2"/>
    </row>
    <row r="30" spans="1:12" hidden="1" x14ac:dyDescent="0.45">
      <c r="A30" s="1" t="s">
        <v>96</v>
      </c>
      <c r="B30" s="2">
        <v>1.056</v>
      </c>
      <c r="C30" s="2">
        <v>1.1000000000000001</v>
      </c>
      <c r="D30" s="5">
        <v>503.19</v>
      </c>
      <c r="E30" s="2">
        <v>32000</v>
      </c>
      <c r="F30" s="5">
        <f t="shared" si="5"/>
        <v>533.33333333333337</v>
      </c>
      <c r="G30" s="5">
        <f t="shared" si="1"/>
        <v>526.12524252383366</v>
      </c>
      <c r="H30" s="2" t="str">
        <f t="shared" si="2"/>
        <v>합격</v>
      </c>
      <c r="I30" s="30">
        <f t="shared" si="4"/>
        <v>0.95640725692268092</v>
      </c>
      <c r="J30" s="30"/>
      <c r="K30" s="2" t="str">
        <f t="shared" si="8"/>
        <v>F-1-#1</v>
      </c>
      <c r="L30" s="2"/>
    </row>
    <row r="31" spans="1:12" hidden="1" x14ac:dyDescent="0.45">
      <c r="A31" s="1" t="s">
        <v>97</v>
      </c>
      <c r="B31" s="2">
        <v>0.97399999999999998</v>
      </c>
      <c r="C31" s="2">
        <v>1.1000000000000001</v>
      </c>
      <c r="D31" s="5">
        <v>553.23</v>
      </c>
      <c r="E31" s="2">
        <v>32000</v>
      </c>
      <c r="F31" s="5">
        <f t="shared" si="5"/>
        <v>533.33333333333337</v>
      </c>
      <c r="G31" s="5">
        <f t="shared" si="1"/>
        <v>512.13857079824709</v>
      </c>
      <c r="H31" s="2" t="str">
        <f t="shared" si="2"/>
        <v>합격</v>
      </c>
      <c r="I31" s="30">
        <f t="shared" si="4"/>
        <v>1.0802349823753863</v>
      </c>
      <c r="J31" s="30"/>
      <c r="K31" s="2" t="str">
        <f t="shared" si="8"/>
        <v>F-1-#2</v>
      </c>
      <c r="L31" s="2"/>
    </row>
    <row r="32" spans="1:12" hidden="1" x14ac:dyDescent="0.45">
      <c r="A32" s="1" t="s">
        <v>98</v>
      </c>
      <c r="B32" s="2">
        <v>1.048</v>
      </c>
      <c r="C32" s="2">
        <v>1.1000000000000001</v>
      </c>
      <c r="D32" s="5">
        <v>498.34</v>
      </c>
      <c r="E32" s="2">
        <v>32000</v>
      </c>
      <c r="F32" s="5">
        <f t="shared" si="5"/>
        <v>533.33333333333337</v>
      </c>
      <c r="G32" s="5">
        <f t="shared" si="1"/>
        <v>524.79327418603748</v>
      </c>
      <c r="H32" s="2" t="str">
        <f t="shared" si="2"/>
        <v>합격</v>
      </c>
      <c r="I32" s="30">
        <f t="shared" si="4"/>
        <v>0.9495929626250128</v>
      </c>
      <c r="J32" s="30"/>
      <c r="K32" s="2" t="str">
        <f t="shared" si="8"/>
        <v>F-1-#3</v>
      </c>
      <c r="L32" s="2"/>
    </row>
    <row r="33" spans="1:12" hidden="1" x14ac:dyDescent="0.45">
      <c r="A33" s="1" t="s">
        <v>99</v>
      </c>
      <c r="B33" s="2">
        <v>1.9750000000000001</v>
      </c>
      <c r="C33" s="2">
        <v>1.1000000000000001</v>
      </c>
      <c r="D33" s="5">
        <v>533.34</v>
      </c>
      <c r="E33" s="2">
        <v>32000</v>
      </c>
      <c r="F33" s="5">
        <f t="shared" si="5"/>
        <v>533.33333333333337</v>
      </c>
      <c r="G33" s="5">
        <f t="shared" si="1"/>
        <v>648.22165134476688</v>
      </c>
      <c r="H33" s="2" t="str">
        <f t="shared" si="2"/>
        <v>불합격</v>
      </c>
      <c r="I33" s="30">
        <f t="shared" si="4"/>
        <v>0.82277412192814081</v>
      </c>
      <c r="J33" s="30"/>
      <c r="K33" s="2" t="str">
        <f t="shared" si="8"/>
        <v>F-1-#4</v>
      </c>
      <c r="L33" s="2"/>
    </row>
    <row r="34" spans="1:12" hidden="1" x14ac:dyDescent="0.45">
      <c r="A34" s="1" t="s">
        <v>100</v>
      </c>
      <c r="B34" s="2">
        <v>2.37</v>
      </c>
      <c r="C34" s="2">
        <v>1.1000000000000001</v>
      </c>
      <c r="D34" s="5">
        <v>520.29999999999995</v>
      </c>
      <c r="E34" s="2">
        <v>32000</v>
      </c>
      <c r="F34" s="5">
        <f t="shared" si="5"/>
        <v>533.33333333333337</v>
      </c>
      <c r="G34" s="5">
        <f t="shared" si="1"/>
        <v>688.83829253121962</v>
      </c>
      <c r="H34" s="2" t="str">
        <f t="shared" si="2"/>
        <v>불합격</v>
      </c>
      <c r="I34" s="30">
        <f t="shared" si="4"/>
        <v>0.75532966973728288</v>
      </c>
      <c r="J34" s="30"/>
      <c r="K34" s="2" t="str">
        <f t="shared" si="8"/>
        <v>F-1-#5</v>
      </c>
      <c r="L34" s="2"/>
    </row>
    <row r="35" spans="1:12" hidden="1" x14ac:dyDescent="0.45">
      <c r="A35" s="1" t="s">
        <v>101</v>
      </c>
      <c r="B35" s="2">
        <v>2.4279999999999999</v>
      </c>
      <c r="C35" s="2">
        <v>1.1000000000000001</v>
      </c>
      <c r="D35" s="5">
        <v>560.95000000000005</v>
      </c>
      <c r="E35" s="2">
        <v>32000</v>
      </c>
      <c r="F35" s="5">
        <f t="shared" si="5"/>
        <v>533.33333333333337</v>
      </c>
      <c r="G35" s="5">
        <f t="shared" si="1"/>
        <v>694.41228220070843</v>
      </c>
      <c r="H35" s="2" t="str">
        <f t="shared" si="2"/>
        <v>불합격</v>
      </c>
      <c r="I35" s="30">
        <f t="shared" si="4"/>
        <v>0.80780541240177361</v>
      </c>
      <c r="J35" s="30"/>
      <c r="K35" s="2" t="str">
        <f t="shared" si="8"/>
        <v>F-1-#6</v>
      </c>
      <c r="L35" s="2"/>
    </row>
    <row r="36" spans="1:12" hidden="1" x14ac:dyDescent="0.45">
      <c r="A36" s="1" t="s">
        <v>102</v>
      </c>
      <c r="B36" s="2">
        <v>2.367</v>
      </c>
      <c r="C36" s="2">
        <v>1.1000000000000001</v>
      </c>
      <c r="D36" s="5">
        <v>513.17999999999995</v>
      </c>
      <c r="E36" s="2">
        <v>32000</v>
      </c>
      <c r="F36" s="5">
        <f t="shared" si="5"/>
        <v>533.33333333333337</v>
      </c>
      <c r="G36" s="5">
        <f t="shared" si="1"/>
        <v>688.54752073958798</v>
      </c>
      <c r="H36" s="2" t="str">
        <f t="shared" si="2"/>
        <v>불합격</v>
      </c>
      <c r="I36" s="30">
        <f t="shared" si="4"/>
        <v>0.74530803545524216</v>
      </c>
      <c r="J36" s="30"/>
      <c r="K36" s="2" t="str">
        <f t="shared" si="8"/>
        <v>F-1-#7</v>
      </c>
      <c r="L36" s="2"/>
    </row>
    <row r="37" spans="1:12" hidden="1" x14ac:dyDescent="0.45">
      <c r="A37" s="1" t="s">
        <v>103</v>
      </c>
      <c r="B37" s="2">
        <v>2.3159999999999998</v>
      </c>
      <c r="C37" s="2">
        <v>1.1000000000000001</v>
      </c>
      <c r="D37" s="5">
        <v>544.48</v>
      </c>
      <c r="E37" s="2">
        <v>32000</v>
      </c>
      <c r="F37" s="5">
        <f t="shared" si="5"/>
        <v>533.33333333333337</v>
      </c>
      <c r="G37" s="5">
        <f t="shared" si="1"/>
        <v>683.56636425794954</v>
      </c>
      <c r="H37" s="2" t="str">
        <f t="shared" si="2"/>
        <v>불합격</v>
      </c>
      <c r="I37" s="30">
        <f t="shared" si="4"/>
        <v>0.7965283672069855</v>
      </c>
      <c r="J37" s="30"/>
      <c r="K37" s="2" t="str">
        <f t="shared" si="8"/>
        <v>F-1-#8</v>
      </c>
      <c r="L37" s="2"/>
    </row>
    <row r="38" spans="1:12" hidden="1" x14ac:dyDescent="0.45">
      <c r="A38" s="93" t="s">
        <v>108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1"/>
    </row>
    <row r="39" spans="1:12" hidden="1" x14ac:dyDescent="0.45">
      <c r="A39" s="1" t="s">
        <v>104</v>
      </c>
      <c r="B39" s="2">
        <v>1.8979999999999999</v>
      </c>
      <c r="C39" s="2">
        <v>3.75</v>
      </c>
      <c r="D39" s="5">
        <v>86.320999999999998</v>
      </c>
      <c r="E39" s="2">
        <v>5000</v>
      </c>
      <c r="F39" s="18">
        <f t="shared" si="5"/>
        <v>83.333333333333329</v>
      </c>
      <c r="G39" s="5">
        <f t="shared" si="1"/>
        <v>66.411058254658528</v>
      </c>
      <c r="H39" s="2" t="str">
        <f t="shared" si="2"/>
        <v>불합격</v>
      </c>
      <c r="I39" s="30">
        <f t="shared" si="4"/>
        <v>1.2997985918097434</v>
      </c>
      <c r="J39" s="30"/>
      <c r="K39" s="2" t="str">
        <f>A39</f>
        <v>CE-1</v>
      </c>
      <c r="L39" s="2"/>
    </row>
    <row r="40" spans="1:12" hidden="1" x14ac:dyDescent="0.45">
      <c r="A40" s="1" t="s">
        <v>105</v>
      </c>
      <c r="B40" s="2">
        <v>2.7050000000000001</v>
      </c>
      <c r="C40" s="2">
        <v>7.5</v>
      </c>
      <c r="D40" s="5">
        <v>194.41</v>
      </c>
      <c r="E40" s="2">
        <v>45600</v>
      </c>
      <c r="F40" s="18">
        <f t="shared" si="5"/>
        <v>760</v>
      </c>
      <c r="G40" s="5">
        <f t="shared" si="1"/>
        <v>540.98130968496264</v>
      </c>
      <c r="H40" s="2" t="str">
        <f t="shared" si="2"/>
        <v>불합격</v>
      </c>
      <c r="I40" s="30">
        <f t="shared" si="4"/>
        <v>0.35936546516406187</v>
      </c>
      <c r="J40" s="30"/>
      <c r="K40" s="2" t="str">
        <f>A40</f>
        <v>EF-4-#1</v>
      </c>
      <c r="L40" s="2"/>
    </row>
    <row r="41" spans="1:12" hidden="1" x14ac:dyDescent="0.45">
      <c r="A41" s="1" t="s">
        <v>106</v>
      </c>
      <c r="B41" s="2">
        <v>3.2010000000000001</v>
      </c>
      <c r="C41" s="2">
        <v>7.5</v>
      </c>
      <c r="D41" s="5">
        <v>194.07</v>
      </c>
      <c r="E41" s="2">
        <v>45600</v>
      </c>
      <c r="F41" s="18">
        <f t="shared" si="5"/>
        <v>760</v>
      </c>
      <c r="G41" s="5">
        <f t="shared" si="1"/>
        <v>572.20949830101472</v>
      </c>
      <c r="H41" s="2" t="str">
        <f t="shared" si="2"/>
        <v>불합격</v>
      </c>
      <c r="I41" s="30">
        <f t="shared" si="4"/>
        <v>0.3391589978429686</v>
      </c>
      <c r="J41" s="30"/>
      <c r="K41" s="2" t="str">
        <f>A41</f>
        <v>EF-4-#2</v>
      </c>
      <c r="L41" s="2"/>
    </row>
    <row r="42" spans="1:12" hidden="1" x14ac:dyDescent="0.45">
      <c r="A42" s="1" t="s">
        <v>107</v>
      </c>
      <c r="B42" s="2">
        <v>5.0789999999999997</v>
      </c>
      <c r="C42" s="2">
        <v>7.5</v>
      </c>
      <c r="D42" s="5">
        <v>677.53</v>
      </c>
      <c r="E42" s="2">
        <v>45600</v>
      </c>
      <c r="F42" s="18">
        <f t="shared" si="5"/>
        <v>760</v>
      </c>
      <c r="G42" s="5">
        <f t="shared" si="1"/>
        <v>667.39954887471515</v>
      </c>
      <c r="H42" s="2" t="str">
        <f t="shared" si="2"/>
        <v>합격</v>
      </c>
      <c r="I42" s="30">
        <f t="shared" si="4"/>
        <v>1.0151789900702892</v>
      </c>
      <c r="J42" s="30"/>
      <c r="K42" s="2" t="str">
        <f>A42</f>
        <v>SF-5</v>
      </c>
      <c r="L42" s="2"/>
    </row>
    <row r="43" spans="1:12" hidden="1" x14ac:dyDescent="0.45">
      <c r="A43" s="1" t="s">
        <v>109</v>
      </c>
      <c r="B43" s="2">
        <v>4.7519999999999998</v>
      </c>
      <c r="C43" s="2">
        <v>15</v>
      </c>
      <c r="D43" s="5">
        <v>294.98</v>
      </c>
      <c r="E43" s="2">
        <v>42900</v>
      </c>
      <c r="F43" s="18">
        <f t="shared" si="5"/>
        <v>715</v>
      </c>
      <c r="G43" s="5">
        <f t="shared" si="1"/>
        <v>487.41747936559801</v>
      </c>
      <c r="H43" s="2" t="str">
        <f t="shared" si="2"/>
        <v>불합격</v>
      </c>
      <c r="I43" s="30">
        <f t="shared" si="4"/>
        <v>0.60518962180825664</v>
      </c>
      <c r="J43" s="30"/>
      <c r="K43" s="2" t="str">
        <f>A43</f>
        <v>AHU-1-환기</v>
      </c>
      <c r="L43" s="2" t="s">
        <v>111</v>
      </c>
    </row>
    <row r="44" spans="1:12" hidden="1" x14ac:dyDescent="0.45">
      <c r="A44" s="93" t="s">
        <v>112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2"/>
    </row>
    <row r="45" spans="1:12" hidden="1" x14ac:dyDescent="0.45">
      <c r="A45" s="1" t="s">
        <v>113</v>
      </c>
      <c r="B45" s="2">
        <v>2.8260000000000001</v>
      </c>
      <c r="C45" s="2">
        <v>3.7</v>
      </c>
      <c r="D45" s="5">
        <v>295.95999999999998</v>
      </c>
      <c r="E45" s="2"/>
      <c r="F45" s="18">
        <v>317</v>
      </c>
      <c r="G45" s="5">
        <f t="shared" si="1"/>
        <v>289.76732173260154</v>
      </c>
      <c r="H45" s="2" t="str">
        <f t="shared" si="2"/>
        <v>합격</v>
      </c>
      <c r="I45" s="30">
        <f t="shared" si="4"/>
        <v>1.0213712099431043</v>
      </c>
      <c r="J45" s="30"/>
      <c r="K45" s="2" t="str">
        <f t="shared" ref="K45:K50" si="9">A45</f>
        <v>EF-3-#1</v>
      </c>
      <c r="L45" s="2"/>
    </row>
    <row r="46" spans="1:12" hidden="1" x14ac:dyDescent="0.45">
      <c r="A46" s="1" t="s">
        <v>114</v>
      </c>
      <c r="B46" s="2">
        <v>3.6949999999999998</v>
      </c>
      <c r="C46" s="2">
        <v>3.7</v>
      </c>
      <c r="D46" s="5">
        <v>373.81</v>
      </c>
      <c r="E46" s="2"/>
      <c r="F46" s="18">
        <v>317</v>
      </c>
      <c r="G46" s="5">
        <f t="shared" si="1"/>
        <v>316.85714283779663</v>
      </c>
      <c r="H46" s="2" t="str">
        <f t="shared" si="2"/>
        <v>불합격</v>
      </c>
      <c r="I46" s="30">
        <f t="shared" si="4"/>
        <v>1.1797430117943035</v>
      </c>
      <c r="J46" s="30"/>
      <c r="K46" s="2" t="str">
        <f t="shared" si="9"/>
        <v>SF-3-#1</v>
      </c>
      <c r="L46" s="2" t="s">
        <v>119</v>
      </c>
    </row>
    <row r="47" spans="1:12" hidden="1" x14ac:dyDescent="0.45">
      <c r="A47" s="1" t="s">
        <v>115</v>
      </c>
      <c r="B47" s="2">
        <v>3.0659999999999998</v>
      </c>
      <c r="C47" s="2">
        <v>3.7</v>
      </c>
      <c r="D47" s="5">
        <v>287.63</v>
      </c>
      <c r="E47" s="2"/>
      <c r="F47" s="18">
        <v>317</v>
      </c>
      <c r="G47" s="5">
        <f t="shared" si="1"/>
        <v>297.74837803362948</v>
      </c>
      <c r="H47" s="2" t="str">
        <f t="shared" si="2"/>
        <v>합격</v>
      </c>
      <c r="I47" s="30">
        <f t="shared" si="4"/>
        <v>0.96601701711877452</v>
      </c>
      <c r="J47" s="30"/>
      <c r="K47" s="2" t="str">
        <f t="shared" si="9"/>
        <v>SF-3-#2</v>
      </c>
      <c r="L47" s="2"/>
    </row>
    <row r="48" spans="1:12" hidden="1" x14ac:dyDescent="0.45">
      <c r="A48" s="1" t="s">
        <v>116</v>
      </c>
      <c r="B48" s="2">
        <v>2.8919999999999999</v>
      </c>
      <c r="C48" s="2">
        <v>3.7</v>
      </c>
      <c r="D48" s="5">
        <v>265.43</v>
      </c>
      <c r="E48" s="2"/>
      <c r="F48" s="18">
        <v>317</v>
      </c>
      <c r="G48" s="5">
        <f t="shared" si="1"/>
        <v>292.00578160597513</v>
      </c>
      <c r="H48" s="2" t="str">
        <f t="shared" si="2"/>
        <v>합격</v>
      </c>
      <c r="I48" s="30">
        <f t="shared" si="4"/>
        <v>0.90898885131721197</v>
      </c>
      <c r="J48" s="30"/>
      <c r="K48" s="2" t="str">
        <f t="shared" si="9"/>
        <v>EF-3-#2</v>
      </c>
      <c r="L48" s="2"/>
    </row>
    <row r="49" spans="1:12" hidden="1" x14ac:dyDescent="0.45">
      <c r="A49" s="1" t="s">
        <v>117</v>
      </c>
      <c r="B49" s="2">
        <v>8.6199999999999992</v>
      </c>
      <c r="C49" s="2">
        <v>15</v>
      </c>
      <c r="D49" s="5">
        <v>467</v>
      </c>
      <c r="E49" s="2"/>
      <c r="F49" s="18">
        <v>567</v>
      </c>
      <c r="G49" s="5">
        <f t="shared" si="1"/>
        <v>471.39871516185485</v>
      </c>
      <c r="H49" s="2" t="str">
        <f t="shared" si="2"/>
        <v>합격</v>
      </c>
      <c r="I49" s="30">
        <f t="shared" si="4"/>
        <v>0.99066880112232691</v>
      </c>
      <c r="J49" s="30"/>
      <c r="K49" s="2" t="str">
        <f t="shared" si="9"/>
        <v>HV-2-급기</v>
      </c>
      <c r="L49" s="2"/>
    </row>
    <row r="50" spans="1:12" hidden="1" x14ac:dyDescent="0.45">
      <c r="A50" s="1" t="s">
        <v>118</v>
      </c>
      <c r="B50" s="2">
        <v>8.6199999999999992</v>
      </c>
      <c r="C50" s="2">
        <v>15</v>
      </c>
      <c r="D50" s="5">
        <v>513</v>
      </c>
      <c r="E50" s="2"/>
      <c r="F50" s="18">
        <v>567</v>
      </c>
      <c r="G50" s="5">
        <f t="shared" si="1"/>
        <v>471.39871516185485</v>
      </c>
      <c r="H50" s="2" t="str">
        <f t="shared" si="2"/>
        <v>합격</v>
      </c>
      <c r="I50" s="30">
        <f t="shared" si="4"/>
        <v>1.0882507387061107</v>
      </c>
      <c r="J50" s="30"/>
      <c r="K50" s="2" t="str">
        <f t="shared" si="9"/>
        <v>HV-2-환기</v>
      </c>
      <c r="L50" s="2"/>
    </row>
    <row r="51" spans="1:12" hidden="1" x14ac:dyDescent="0.45">
      <c r="A51" s="93" t="s">
        <v>127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2"/>
    </row>
    <row r="52" spans="1:12" hidden="1" x14ac:dyDescent="0.45">
      <c r="A52" s="1" t="s">
        <v>128</v>
      </c>
      <c r="B52" s="2"/>
      <c r="C52" s="2">
        <v>5.5</v>
      </c>
      <c r="D52" s="5"/>
      <c r="E52" s="2"/>
      <c r="F52" s="18">
        <v>226</v>
      </c>
      <c r="G52" s="5">
        <f t="shared" si="1"/>
        <v>0</v>
      </c>
      <c r="H52" s="2" t="str">
        <f t="shared" si="2"/>
        <v>합격</v>
      </c>
      <c r="I52" s="30" t="str">
        <f t="shared" si="4"/>
        <v>-</v>
      </c>
      <c r="J52" s="30"/>
      <c r="K52" s="2" t="str">
        <f t="shared" ref="K52:K57" si="10">A52</f>
        <v>F-21</v>
      </c>
      <c r="L52" s="2"/>
    </row>
    <row r="53" spans="1:12" hidden="1" x14ac:dyDescent="0.45">
      <c r="A53" s="1" t="s">
        <v>129</v>
      </c>
      <c r="B53" s="2"/>
      <c r="C53" s="2">
        <v>5.5</v>
      </c>
      <c r="D53" s="5"/>
      <c r="E53" s="2"/>
      <c r="F53" s="18">
        <v>231</v>
      </c>
      <c r="G53" s="5">
        <f t="shared" si="1"/>
        <v>0</v>
      </c>
      <c r="H53" s="2" t="str">
        <f t="shared" si="2"/>
        <v>합격</v>
      </c>
      <c r="I53" s="30" t="str">
        <f t="shared" si="4"/>
        <v>-</v>
      </c>
      <c r="J53" s="30"/>
      <c r="K53" s="2" t="str">
        <f t="shared" si="10"/>
        <v>F-22</v>
      </c>
      <c r="L53" s="2"/>
    </row>
    <row r="54" spans="1:12" hidden="1" x14ac:dyDescent="0.45">
      <c r="A54" s="1" t="s">
        <v>130</v>
      </c>
      <c r="B54" s="2"/>
      <c r="C54" s="2">
        <v>3.75</v>
      </c>
      <c r="D54" s="5"/>
      <c r="E54" s="2"/>
      <c r="F54" s="18">
        <v>104</v>
      </c>
      <c r="G54" s="5">
        <f t="shared" si="1"/>
        <v>0</v>
      </c>
      <c r="H54" s="2" t="str">
        <f t="shared" si="2"/>
        <v>합격</v>
      </c>
      <c r="I54" s="30" t="str">
        <f t="shared" si="4"/>
        <v>-</v>
      </c>
      <c r="J54" s="30"/>
      <c r="K54" s="2" t="str">
        <f t="shared" si="10"/>
        <v>F-27</v>
      </c>
      <c r="L54" s="2"/>
    </row>
    <row r="55" spans="1:12" hidden="1" x14ac:dyDescent="0.45">
      <c r="A55" s="1" t="s">
        <v>131</v>
      </c>
      <c r="B55" s="2"/>
      <c r="C55" s="2">
        <v>3.75</v>
      </c>
      <c r="D55" s="5"/>
      <c r="E55" s="2"/>
      <c r="F55" s="18">
        <v>117</v>
      </c>
      <c r="G55" s="5">
        <f t="shared" si="1"/>
        <v>0</v>
      </c>
      <c r="H55" s="2" t="str">
        <f t="shared" si="2"/>
        <v>합격</v>
      </c>
      <c r="I55" s="30" t="str">
        <f t="shared" si="4"/>
        <v>-</v>
      </c>
      <c r="J55" s="30"/>
      <c r="K55" s="2" t="str">
        <f t="shared" si="10"/>
        <v>F-28</v>
      </c>
      <c r="L55" s="2"/>
    </row>
    <row r="56" spans="1:12" hidden="1" x14ac:dyDescent="0.45">
      <c r="A56" s="1" t="s">
        <v>132</v>
      </c>
      <c r="B56" s="2"/>
      <c r="C56" s="2">
        <v>1.5</v>
      </c>
      <c r="D56" s="5"/>
      <c r="E56" s="2"/>
      <c r="F56" s="18">
        <v>47</v>
      </c>
      <c r="G56" s="5">
        <f t="shared" si="1"/>
        <v>0</v>
      </c>
      <c r="H56" s="2" t="str">
        <f t="shared" si="2"/>
        <v>합격</v>
      </c>
      <c r="I56" s="30" t="str">
        <f t="shared" si="4"/>
        <v>-</v>
      </c>
      <c r="J56" s="30"/>
      <c r="K56" s="2" t="str">
        <f t="shared" si="10"/>
        <v>F-29</v>
      </c>
      <c r="L56" s="2"/>
    </row>
    <row r="57" spans="1:12" hidden="1" x14ac:dyDescent="0.45">
      <c r="A57" s="1" t="s">
        <v>133</v>
      </c>
      <c r="B57" s="2"/>
      <c r="C57" s="2">
        <v>5.5</v>
      </c>
      <c r="D57" s="5"/>
      <c r="E57" s="2"/>
      <c r="F57" s="18">
        <v>172</v>
      </c>
      <c r="G57" s="5">
        <f t="shared" si="1"/>
        <v>0</v>
      </c>
      <c r="H57" s="2" t="str">
        <f t="shared" si="2"/>
        <v>합격</v>
      </c>
      <c r="I57" s="30" t="str">
        <f t="shared" si="4"/>
        <v>-</v>
      </c>
      <c r="J57" s="30"/>
      <c r="K57" s="2" t="str">
        <f t="shared" si="10"/>
        <v>F-32</v>
      </c>
      <c r="L57" s="2"/>
    </row>
    <row r="58" spans="1:12" x14ac:dyDescent="0.45">
      <c r="A58" s="1" t="s">
        <v>134</v>
      </c>
      <c r="D58" s="49"/>
      <c r="F58" s="48"/>
      <c r="G58" s="5">
        <f t="shared" si="1"/>
        <v>0</v>
      </c>
      <c r="H58" s="2" t="str">
        <f t="shared" si="2"/>
        <v>합격</v>
      </c>
      <c r="I58" s="30" t="str">
        <f t="shared" si="4"/>
        <v>-</v>
      </c>
      <c r="J58" s="30" t="str">
        <f>IFERROR(G58/F58,"-")</f>
        <v>-</v>
      </c>
      <c r="K58" s="28"/>
      <c r="L58" s="28"/>
    </row>
    <row r="59" spans="1:12" x14ac:dyDescent="0.45">
      <c r="A59" s="1" t="s">
        <v>135</v>
      </c>
      <c r="D59" s="49"/>
      <c r="F59" s="48"/>
      <c r="G59" s="5">
        <f t="shared" si="1"/>
        <v>0</v>
      </c>
      <c r="H59" s="2" t="str">
        <f t="shared" si="2"/>
        <v>합격</v>
      </c>
      <c r="I59" s="30" t="str">
        <f t="shared" si="4"/>
        <v>-</v>
      </c>
      <c r="J59" s="30" t="str">
        <f>IFERROR(G59/F59,"-")</f>
        <v>-</v>
      </c>
      <c r="K59" s="28"/>
      <c r="L59" s="28"/>
    </row>
    <row r="60" spans="1:12" x14ac:dyDescent="0.45">
      <c r="A60" s="1" t="s">
        <v>136</v>
      </c>
      <c r="D60" s="49"/>
      <c r="F60" s="48"/>
      <c r="G60" s="5">
        <f t="shared" si="1"/>
        <v>0</v>
      </c>
      <c r="H60" s="2" t="str">
        <f t="shared" si="2"/>
        <v>합격</v>
      </c>
      <c r="I60" s="30" t="str">
        <f t="shared" si="4"/>
        <v>-</v>
      </c>
      <c r="J60" s="30" t="str">
        <f t="shared" ref="J60:J123" si="11">IFERROR(G60/F60,"-")</f>
        <v>-</v>
      </c>
      <c r="K60" s="28"/>
      <c r="L60" s="28"/>
    </row>
    <row r="61" spans="1:12" x14ac:dyDescent="0.45">
      <c r="A61" s="1" t="s">
        <v>137</v>
      </c>
      <c r="D61" s="49"/>
      <c r="F61" s="48"/>
      <c r="G61" s="5">
        <f t="shared" si="1"/>
        <v>0</v>
      </c>
      <c r="H61" s="2" t="str">
        <f t="shared" si="2"/>
        <v>합격</v>
      </c>
      <c r="I61" s="30" t="str">
        <f t="shared" si="4"/>
        <v>-</v>
      </c>
      <c r="J61" s="30" t="str">
        <f t="shared" si="11"/>
        <v>-</v>
      </c>
      <c r="K61" s="28"/>
      <c r="L61" s="28"/>
    </row>
    <row r="62" spans="1:12" x14ac:dyDescent="0.45">
      <c r="D62" s="49"/>
      <c r="F62" s="48"/>
      <c r="G62" s="5">
        <f t="shared" si="1"/>
        <v>0</v>
      </c>
      <c r="H62" s="2" t="str">
        <f t="shared" si="2"/>
        <v>합격</v>
      </c>
      <c r="I62" s="30" t="str">
        <f t="shared" si="4"/>
        <v>-</v>
      </c>
      <c r="J62" s="30" t="str">
        <f t="shared" si="11"/>
        <v>-</v>
      </c>
      <c r="K62" s="28"/>
      <c r="L62" s="28"/>
    </row>
    <row r="63" spans="1:12" x14ac:dyDescent="0.45">
      <c r="D63" s="49"/>
      <c r="F63" s="48"/>
      <c r="G63" s="5">
        <f t="shared" si="1"/>
        <v>0</v>
      </c>
      <c r="H63" s="2" t="str">
        <f t="shared" si="2"/>
        <v>합격</v>
      </c>
      <c r="I63" s="30" t="str">
        <f t="shared" si="4"/>
        <v>-</v>
      </c>
      <c r="J63" s="30" t="str">
        <f t="shared" si="11"/>
        <v>-</v>
      </c>
      <c r="K63" s="28"/>
      <c r="L63" s="28"/>
    </row>
    <row r="64" spans="1:12" x14ac:dyDescent="0.45">
      <c r="D64" s="49"/>
      <c r="F64" s="48"/>
      <c r="G64" s="5">
        <f t="shared" si="1"/>
        <v>0</v>
      </c>
      <c r="H64" s="2" t="str">
        <f t="shared" si="2"/>
        <v>합격</v>
      </c>
      <c r="I64" s="30" t="str">
        <f t="shared" si="4"/>
        <v>-</v>
      </c>
      <c r="J64" s="30" t="str">
        <f t="shared" si="11"/>
        <v>-</v>
      </c>
      <c r="K64" s="28"/>
      <c r="L64" s="28"/>
    </row>
    <row r="65" spans="4:12" x14ac:dyDescent="0.45">
      <c r="D65" s="49"/>
      <c r="F65" s="48"/>
      <c r="G65" s="5">
        <f t="shared" si="1"/>
        <v>0</v>
      </c>
      <c r="H65" s="2" t="str">
        <f t="shared" si="2"/>
        <v>합격</v>
      </c>
      <c r="I65" s="30" t="str">
        <f t="shared" si="4"/>
        <v>-</v>
      </c>
      <c r="J65" s="30" t="str">
        <f t="shared" si="11"/>
        <v>-</v>
      </c>
      <c r="K65" s="28"/>
      <c r="L65" s="28"/>
    </row>
    <row r="66" spans="4:12" x14ac:dyDescent="0.45">
      <c r="D66" s="49"/>
      <c r="F66" s="48"/>
      <c r="G66" s="5">
        <f t="shared" si="1"/>
        <v>0</v>
      </c>
      <c r="H66" s="2" t="str">
        <f t="shared" si="2"/>
        <v>합격</v>
      </c>
      <c r="I66" s="30" t="str">
        <f t="shared" si="4"/>
        <v>-</v>
      </c>
      <c r="J66" s="30" t="str">
        <f t="shared" si="11"/>
        <v>-</v>
      </c>
      <c r="K66" s="28"/>
      <c r="L66" s="28"/>
    </row>
    <row r="67" spans="4:12" x14ac:dyDescent="0.45">
      <c r="D67" s="49"/>
      <c r="F67" s="48"/>
      <c r="G67" s="5">
        <f t="shared" si="1"/>
        <v>0</v>
      </c>
      <c r="H67" s="2" t="str">
        <f t="shared" si="2"/>
        <v>합격</v>
      </c>
      <c r="I67" s="30" t="str">
        <f t="shared" si="4"/>
        <v>-</v>
      </c>
      <c r="J67" s="30" t="str">
        <f t="shared" si="11"/>
        <v>-</v>
      </c>
      <c r="K67" s="28"/>
      <c r="L67" s="28"/>
    </row>
    <row r="68" spans="4:12" x14ac:dyDescent="0.45">
      <c r="D68" s="49"/>
      <c r="F68" s="48"/>
      <c r="G68" s="5">
        <f t="shared" si="1"/>
        <v>0</v>
      </c>
      <c r="H68" s="2" t="str">
        <f t="shared" si="2"/>
        <v>합격</v>
      </c>
      <c r="I68" s="30" t="str">
        <f t="shared" si="4"/>
        <v>-</v>
      </c>
      <c r="J68" s="30" t="str">
        <f t="shared" si="11"/>
        <v>-</v>
      </c>
      <c r="K68" s="28"/>
      <c r="L68" s="28"/>
    </row>
    <row r="69" spans="4:12" x14ac:dyDescent="0.45">
      <c r="D69" s="49"/>
      <c r="F69" s="48"/>
      <c r="G69" s="5">
        <f t="shared" si="1"/>
        <v>0</v>
      </c>
      <c r="H69" s="2" t="str">
        <f t="shared" si="2"/>
        <v>합격</v>
      </c>
      <c r="I69" s="30" t="str">
        <f t="shared" si="4"/>
        <v>-</v>
      </c>
      <c r="J69" s="30" t="str">
        <f t="shared" si="11"/>
        <v>-</v>
      </c>
      <c r="K69" s="28"/>
      <c r="L69" s="28"/>
    </row>
    <row r="70" spans="4:12" x14ac:dyDescent="0.45">
      <c r="D70" s="49"/>
      <c r="F70" s="48"/>
      <c r="G70" s="5">
        <f t="shared" si="1"/>
        <v>0</v>
      </c>
      <c r="H70" s="2" t="str">
        <f t="shared" si="2"/>
        <v>합격</v>
      </c>
      <c r="I70" s="30" t="str">
        <f t="shared" si="4"/>
        <v>-</v>
      </c>
      <c r="J70" s="30" t="str">
        <f t="shared" si="11"/>
        <v>-</v>
      </c>
      <c r="K70" s="28"/>
      <c r="L70" s="28"/>
    </row>
    <row r="71" spans="4:12" x14ac:dyDescent="0.45">
      <c r="D71" s="49"/>
      <c r="F71" s="48"/>
      <c r="G71" s="5">
        <f t="shared" si="1"/>
        <v>0</v>
      </c>
      <c r="H71" s="2" t="str">
        <f t="shared" si="2"/>
        <v>합격</v>
      </c>
      <c r="I71" s="30" t="str">
        <f t="shared" si="4"/>
        <v>-</v>
      </c>
      <c r="J71" s="30" t="str">
        <f t="shared" si="11"/>
        <v>-</v>
      </c>
      <c r="K71" s="28"/>
      <c r="L71" s="28"/>
    </row>
    <row r="72" spans="4:12" x14ac:dyDescent="0.45">
      <c r="D72" s="49"/>
      <c r="F72" s="48"/>
      <c r="G72" s="5">
        <f t="shared" si="1"/>
        <v>0</v>
      </c>
      <c r="H72" s="2" t="str">
        <f t="shared" si="2"/>
        <v>합격</v>
      </c>
      <c r="I72" s="30" t="str">
        <f t="shared" si="4"/>
        <v>-</v>
      </c>
      <c r="J72" s="30" t="str">
        <f t="shared" si="11"/>
        <v>-</v>
      </c>
      <c r="K72" s="28"/>
      <c r="L72" s="28"/>
    </row>
    <row r="73" spans="4:12" x14ac:dyDescent="0.45">
      <c r="D73" s="49"/>
      <c r="F73" s="48"/>
      <c r="G73" s="5">
        <f t="shared" ref="G73:G136" si="12">IFERROR(POWER((B73/C73)*F73^3,1/3),0)</f>
        <v>0</v>
      </c>
      <c r="H73" s="2" t="str">
        <f t="shared" ref="H73:H136" si="13">IF(OR(D73&lt;G73*0.9,D73&gt;G73*1.1),"불합격","합격")</f>
        <v>합격</v>
      </c>
      <c r="I73" s="30" t="str">
        <f t="shared" si="4"/>
        <v>-</v>
      </c>
      <c r="J73" s="30" t="str">
        <f t="shared" si="11"/>
        <v>-</v>
      </c>
      <c r="K73" s="28"/>
      <c r="L73" s="28"/>
    </row>
    <row r="74" spans="4:12" x14ac:dyDescent="0.45">
      <c r="D74" s="49"/>
      <c r="F74" s="48"/>
      <c r="G74" s="5">
        <f t="shared" si="12"/>
        <v>0</v>
      </c>
      <c r="H74" s="2" t="str">
        <f t="shared" si="13"/>
        <v>합격</v>
      </c>
      <c r="I74" s="30" t="str">
        <f t="shared" si="4"/>
        <v>-</v>
      </c>
      <c r="J74" s="30" t="str">
        <f t="shared" si="11"/>
        <v>-</v>
      </c>
      <c r="K74" s="28"/>
      <c r="L74" s="28"/>
    </row>
    <row r="75" spans="4:12" x14ac:dyDescent="0.45">
      <c r="D75" s="49"/>
      <c r="F75" s="48"/>
      <c r="G75" s="5">
        <f t="shared" si="12"/>
        <v>0</v>
      </c>
      <c r="H75" s="2" t="str">
        <f t="shared" si="13"/>
        <v>합격</v>
      </c>
      <c r="I75" s="30" t="str">
        <f t="shared" ref="I75:I138" si="14">IFERROR(D75/G75,"-")</f>
        <v>-</v>
      </c>
      <c r="J75" s="30" t="str">
        <f t="shared" si="11"/>
        <v>-</v>
      </c>
      <c r="K75" s="28"/>
      <c r="L75" s="28"/>
    </row>
    <row r="76" spans="4:12" x14ac:dyDescent="0.45">
      <c r="D76" s="49"/>
      <c r="F76" s="48"/>
      <c r="G76" s="5">
        <f t="shared" si="12"/>
        <v>0</v>
      </c>
      <c r="H76" s="2" t="str">
        <f t="shared" si="13"/>
        <v>합격</v>
      </c>
      <c r="I76" s="30" t="str">
        <f t="shared" si="14"/>
        <v>-</v>
      </c>
      <c r="J76" s="30" t="str">
        <f t="shared" si="11"/>
        <v>-</v>
      </c>
      <c r="K76" s="28"/>
      <c r="L76" s="28"/>
    </row>
    <row r="77" spans="4:12" x14ac:dyDescent="0.45">
      <c r="D77" s="49"/>
      <c r="F77" s="48"/>
      <c r="G77" s="5">
        <f t="shared" si="12"/>
        <v>0</v>
      </c>
      <c r="H77" s="2" t="str">
        <f t="shared" si="13"/>
        <v>합격</v>
      </c>
      <c r="I77" s="30" t="str">
        <f t="shared" si="14"/>
        <v>-</v>
      </c>
      <c r="J77" s="30" t="str">
        <f t="shared" si="11"/>
        <v>-</v>
      </c>
      <c r="K77" s="28"/>
      <c r="L77" s="28"/>
    </row>
    <row r="78" spans="4:12" x14ac:dyDescent="0.45">
      <c r="D78" s="49"/>
      <c r="F78" s="48"/>
      <c r="G78" s="5">
        <f t="shared" si="12"/>
        <v>0</v>
      </c>
      <c r="H78" s="2" t="str">
        <f t="shared" si="13"/>
        <v>합격</v>
      </c>
      <c r="I78" s="30" t="str">
        <f t="shared" si="14"/>
        <v>-</v>
      </c>
      <c r="J78" s="30" t="str">
        <f t="shared" si="11"/>
        <v>-</v>
      </c>
      <c r="K78" s="28"/>
      <c r="L78" s="28"/>
    </row>
    <row r="79" spans="4:12" x14ac:dyDescent="0.45">
      <c r="D79" s="49"/>
      <c r="F79" s="48"/>
      <c r="G79" s="5">
        <f t="shared" si="12"/>
        <v>0</v>
      </c>
      <c r="H79" s="2" t="str">
        <f t="shared" si="13"/>
        <v>합격</v>
      </c>
      <c r="I79" s="30" t="str">
        <f t="shared" si="14"/>
        <v>-</v>
      </c>
      <c r="J79" s="30" t="str">
        <f t="shared" si="11"/>
        <v>-</v>
      </c>
      <c r="K79" s="28"/>
      <c r="L79" s="28"/>
    </row>
    <row r="80" spans="4:12" x14ac:dyDescent="0.45">
      <c r="D80" s="49"/>
      <c r="F80" s="48"/>
      <c r="G80" s="5">
        <f t="shared" si="12"/>
        <v>0</v>
      </c>
      <c r="H80" s="2" t="str">
        <f t="shared" si="13"/>
        <v>합격</v>
      </c>
      <c r="I80" s="30" t="str">
        <f t="shared" si="14"/>
        <v>-</v>
      </c>
      <c r="J80" s="30" t="str">
        <f t="shared" si="11"/>
        <v>-</v>
      </c>
      <c r="K80" s="28"/>
      <c r="L80" s="28"/>
    </row>
    <row r="81" spans="4:12" x14ac:dyDescent="0.45">
      <c r="D81" s="49"/>
      <c r="F81" s="48"/>
      <c r="G81" s="5">
        <f t="shared" si="12"/>
        <v>0</v>
      </c>
      <c r="H81" s="2" t="str">
        <f t="shared" si="13"/>
        <v>합격</v>
      </c>
      <c r="I81" s="30" t="str">
        <f t="shared" si="14"/>
        <v>-</v>
      </c>
      <c r="J81" s="30" t="str">
        <f t="shared" si="11"/>
        <v>-</v>
      </c>
      <c r="K81" s="28"/>
      <c r="L81" s="28"/>
    </row>
    <row r="82" spans="4:12" x14ac:dyDescent="0.45">
      <c r="D82" s="49"/>
      <c r="F82" s="48"/>
      <c r="G82" s="5">
        <f t="shared" si="12"/>
        <v>0</v>
      </c>
      <c r="H82" s="2" t="str">
        <f t="shared" si="13"/>
        <v>합격</v>
      </c>
      <c r="I82" s="30" t="str">
        <f t="shared" si="14"/>
        <v>-</v>
      </c>
      <c r="J82" s="30" t="str">
        <f t="shared" si="11"/>
        <v>-</v>
      </c>
      <c r="K82" s="28"/>
      <c r="L82" s="28"/>
    </row>
    <row r="83" spans="4:12" x14ac:dyDescent="0.45">
      <c r="D83" s="49"/>
      <c r="F83" s="48"/>
      <c r="G83" s="5">
        <f t="shared" si="12"/>
        <v>0</v>
      </c>
      <c r="H83" s="2" t="str">
        <f t="shared" si="13"/>
        <v>합격</v>
      </c>
      <c r="I83" s="30" t="str">
        <f t="shared" si="14"/>
        <v>-</v>
      </c>
      <c r="J83" s="30" t="str">
        <f t="shared" si="11"/>
        <v>-</v>
      </c>
      <c r="K83" s="28"/>
      <c r="L83" s="28"/>
    </row>
    <row r="84" spans="4:12" x14ac:dyDescent="0.45">
      <c r="D84" s="49"/>
      <c r="F84" s="48"/>
      <c r="G84" s="5">
        <f t="shared" si="12"/>
        <v>0</v>
      </c>
      <c r="H84" s="2" t="str">
        <f t="shared" si="13"/>
        <v>합격</v>
      </c>
      <c r="I84" s="30" t="str">
        <f t="shared" si="14"/>
        <v>-</v>
      </c>
      <c r="J84" s="30" t="str">
        <f t="shared" si="11"/>
        <v>-</v>
      </c>
      <c r="K84" s="28"/>
      <c r="L84" s="28"/>
    </row>
    <row r="85" spans="4:12" x14ac:dyDescent="0.45">
      <c r="D85" s="49"/>
      <c r="F85" s="48"/>
      <c r="G85" s="5">
        <f t="shared" si="12"/>
        <v>0</v>
      </c>
      <c r="H85" s="2" t="str">
        <f t="shared" si="13"/>
        <v>합격</v>
      </c>
      <c r="I85" s="30" t="str">
        <f t="shared" si="14"/>
        <v>-</v>
      </c>
      <c r="J85" s="30" t="str">
        <f t="shared" si="11"/>
        <v>-</v>
      </c>
      <c r="K85" s="28"/>
      <c r="L85" s="28"/>
    </row>
    <row r="86" spans="4:12" x14ac:dyDescent="0.45">
      <c r="D86" s="49"/>
      <c r="F86" s="48"/>
      <c r="G86" s="5">
        <f t="shared" si="12"/>
        <v>0</v>
      </c>
      <c r="H86" s="2" t="str">
        <f t="shared" si="13"/>
        <v>합격</v>
      </c>
      <c r="I86" s="30" t="str">
        <f t="shared" si="14"/>
        <v>-</v>
      </c>
      <c r="J86" s="30" t="str">
        <f t="shared" si="11"/>
        <v>-</v>
      </c>
      <c r="K86" s="28"/>
      <c r="L86" s="28"/>
    </row>
    <row r="87" spans="4:12" x14ac:dyDescent="0.45">
      <c r="D87" s="49"/>
      <c r="F87" s="48"/>
      <c r="G87" s="5">
        <f t="shared" si="12"/>
        <v>0</v>
      </c>
      <c r="H87" s="2" t="str">
        <f t="shared" si="13"/>
        <v>합격</v>
      </c>
      <c r="I87" s="30" t="str">
        <f t="shared" si="14"/>
        <v>-</v>
      </c>
      <c r="J87" s="30" t="str">
        <f t="shared" si="11"/>
        <v>-</v>
      </c>
      <c r="K87" s="28"/>
      <c r="L87" s="28"/>
    </row>
    <row r="88" spans="4:12" x14ac:dyDescent="0.45">
      <c r="D88" s="49"/>
      <c r="F88" s="48"/>
      <c r="G88" s="5">
        <f t="shared" si="12"/>
        <v>0</v>
      </c>
      <c r="H88" s="2" t="str">
        <f t="shared" si="13"/>
        <v>합격</v>
      </c>
      <c r="I88" s="30" t="str">
        <f t="shared" si="14"/>
        <v>-</v>
      </c>
      <c r="J88" s="30" t="str">
        <f t="shared" si="11"/>
        <v>-</v>
      </c>
      <c r="K88" s="28"/>
      <c r="L88" s="28"/>
    </row>
    <row r="89" spans="4:12" x14ac:dyDescent="0.45">
      <c r="D89" s="49"/>
      <c r="F89" s="48"/>
      <c r="G89" s="5">
        <f t="shared" si="12"/>
        <v>0</v>
      </c>
      <c r="H89" s="2" t="str">
        <f t="shared" si="13"/>
        <v>합격</v>
      </c>
      <c r="I89" s="30" t="str">
        <f t="shared" si="14"/>
        <v>-</v>
      </c>
      <c r="J89" s="30" t="str">
        <f t="shared" si="11"/>
        <v>-</v>
      </c>
      <c r="K89" s="28"/>
      <c r="L89" s="28"/>
    </row>
    <row r="90" spans="4:12" x14ac:dyDescent="0.45">
      <c r="D90" s="49"/>
      <c r="F90" s="48"/>
      <c r="G90" s="5">
        <f t="shared" si="12"/>
        <v>0</v>
      </c>
      <c r="H90" s="2" t="str">
        <f t="shared" si="13"/>
        <v>합격</v>
      </c>
      <c r="I90" s="30" t="str">
        <f t="shared" si="14"/>
        <v>-</v>
      </c>
      <c r="J90" s="30" t="str">
        <f t="shared" si="11"/>
        <v>-</v>
      </c>
      <c r="K90" s="28"/>
      <c r="L90" s="28"/>
    </row>
    <row r="91" spans="4:12" x14ac:dyDescent="0.45">
      <c r="D91" s="49"/>
      <c r="F91" s="48"/>
      <c r="G91" s="5">
        <f t="shared" si="12"/>
        <v>0</v>
      </c>
      <c r="H91" s="2" t="str">
        <f t="shared" si="13"/>
        <v>합격</v>
      </c>
      <c r="I91" s="30" t="str">
        <f t="shared" si="14"/>
        <v>-</v>
      </c>
      <c r="J91" s="30" t="str">
        <f t="shared" si="11"/>
        <v>-</v>
      </c>
      <c r="K91" s="28"/>
      <c r="L91" s="28"/>
    </row>
    <row r="92" spans="4:12" x14ac:dyDescent="0.45">
      <c r="D92" s="49"/>
      <c r="F92" s="48"/>
      <c r="G92" s="5">
        <f t="shared" si="12"/>
        <v>0</v>
      </c>
      <c r="H92" s="2" t="str">
        <f t="shared" si="13"/>
        <v>합격</v>
      </c>
      <c r="I92" s="30" t="str">
        <f t="shared" si="14"/>
        <v>-</v>
      </c>
      <c r="J92" s="30" t="str">
        <f t="shared" si="11"/>
        <v>-</v>
      </c>
      <c r="K92" s="28"/>
      <c r="L92" s="28"/>
    </row>
    <row r="93" spans="4:12" x14ac:dyDescent="0.45">
      <c r="D93" s="49"/>
      <c r="F93" s="48"/>
      <c r="G93" s="5">
        <f t="shared" si="12"/>
        <v>0</v>
      </c>
      <c r="H93" s="2" t="str">
        <f t="shared" si="13"/>
        <v>합격</v>
      </c>
      <c r="I93" s="30" t="str">
        <f t="shared" si="14"/>
        <v>-</v>
      </c>
      <c r="J93" s="30" t="str">
        <f t="shared" si="11"/>
        <v>-</v>
      </c>
      <c r="K93" s="28"/>
      <c r="L93" s="28"/>
    </row>
    <row r="94" spans="4:12" x14ac:dyDescent="0.45">
      <c r="D94" s="49"/>
      <c r="F94" s="48"/>
      <c r="G94" s="5">
        <f t="shared" si="12"/>
        <v>0</v>
      </c>
      <c r="H94" s="2" t="str">
        <f t="shared" si="13"/>
        <v>합격</v>
      </c>
      <c r="I94" s="30" t="str">
        <f t="shared" si="14"/>
        <v>-</v>
      </c>
      <c r="J94" s="30" t="str">
        <f t="shared" si="11"/>
        <v>-</v>
      </c>
      <c r="K94" s="28"/>
      <c r="L94" s="28"/>
    </row>
    <row r="95" spans="4:12" x14ac:dyDescent="0.45">
      <c r="D95" s="49"/>
      <c r="F95" s="48"/>
      <c r="G95" s="5">
        <f t="shared" si="12"/>
        <v>0</v>
      </c>
      <c r="H95" s="2" t="str">
        <f t="shared" si="13"/>
        <v>합격</v>
      </c>
      <c r="I95" s="30" t="str">
        <f t="shared" si="14"/>
        <v>-</v>
      </c>
      <c r="J95" s="30" t="str">
        <f t="shared" si="11"/>
        <v>-</v>
      </c>
      <c r="K95" s="28"/>
      <c r="L95" s="28"/>
    </row>
    <row r="96" spans="4:12" x14ac:dyDescent="0.45">
      <c r="D96" s="49"/>
      <c r="F96" s="48"/>
      <c r="G96" s="5">
        <f t="shared" si="12"/>
        <v>0</v>
      </c>
      <c r="H96" s="2" t="str">
        <f t="shared" si="13"/>
        <v>합격</v>
      </c>
      <c r="I96" s="30" t="str">
        <f t="shared" si="14"/>
        <v>-</v>
      </c>
      <c r="J96" s="30" t="str">
        <f t="shared" si="11"/>
        <v>-</v>
      </c>
      <c r="K96" s="28"/>
      <c r="L96" s="28"/>
    </row>
    <row r="97" spans="4:12" x14ac:dyDescent="0.45">
      <c r="D97" s="49"/>
      <c r="F97" s="48"/>
      <c r="G97" s="5">
        <f t="shared" si="12"/>
        <v>0</v>
      </c>
      <c r="H97" s="2" t="str">
        <f t="shared" si="13"/>
        <v>합격</v>
      </c>
      <c r="I97" s="30" t="str">
        <f t="shared" si="14"/>
        <v>-</v>
      </c>
      <c r="J97" s="30" t="str">
        <f t="shared" si="11"/>
        <v>-</v>
      </c>
      <c r="K97" s="28"/>
      <c r="L97" s="28"/>
    </row>
    <row r="98" spans="4:12" x14ac:dyDescent="0.45">
      <c r="D98" s="49"/>
      <c r="F98" s="48"/>
      <c r="G98" s="5">
        <f t="shared" si="12"/>
        <v>0</v>
      </c>
      <c r="H98" s="2" t="str">
        <f t="shared" si="13"/>
        <v>합격</v>
      </c>
      <c r="I98" s="30" t="str">
        <f t="shared" si="14"/>
        <v>-</v>
      </c>
      <c r="J98" s="30" t="str">
        <f t="shared" si="11"/>
        <v>-</v>
      </c>
      <c r="K98" s="28"/>
      <c r="L98" s="28"/>
    </row>
    <row r="99" spans="4:12" x14ac:dyDescent="0.45">
      <c r="D99" s="49"/>
      <c r="F99" s="48"/>
      <c r="G99" s="5">
        <f t="shared" si="12"/>
        <v>0</v>
      </c>
      <c r="H99" s="2" t="str">
        <f t="shared" si="13"/>
        <v>합격</v>
      </c>
      <c r="I99" s="30" t="str">
        <f t="shared" si="14"/>
        <v>-</v>
      </c>
      <c r="J99" s="30" t="str">
        <f t="shared" si="11"/>
        <v>-</v>
      </c>
      <c r="K99" s="28"/>
      <c r="L99" s="28"/>
    </row>
    <row r="100" spans="4:12" x14ac:dyDescent="0.45">
      <c r="D100" s="49"/>
      <c r="F100" s="48"/>
      <c r="G100" s="5">
        <f t="shared" si="12"/>
        <v>0</v>
      </c>
      <c r="H100" s="2" t="str">
        <f t="shared" si="13"/>
        <v>합격</v>
      </c>
      <c r="I100" s="30" t="str">
        <f t="shared" si="14"/>
        <v>-</v>
      </c>
      <c r="J100" s="30" t="str">
        <f t="shared" si="11"/>
        <v>-</v>
      </c>
      <c r="K100" s="28"/>
      <c r="L100" s="28"/>
    </row>
    <row r="101" spans="4:12" x14ac:dyDescent="0.45">
      <c r="D101" s="49"/>
      <c r="F101" s="48"/>
      <c r="G101" s="5">
        <f t="shared" si="12"/>
        <v>0</v>
      </c>
      <c r="H101" s="2" t="str">
        <f t="shared" si="13"/>
        <v>합격</v>
      </c>
      <c r="I101" s="30" t="str">
        <f t="shared" si="14"/>
        <v>-</v>
      </c>
      <c r="J101" s="30" t="str">
        <f t="shared" si="11"/>
        <v>-</v>
      </c>
      <c r="K101" s="28"/>
      <c r="L101" s="28"/>
    </row>
    <row r="102" spans="4:12" x14ac:dyDescent="0.45">
      <c r="D102" s="49"/>
      <c r="F102" s="48"/>
      <c r="G102" s="5">
        <f t="shared" si="12"/>
        <v>0</v>
      </c>
      <c r="H102" s="2" t="str">
        <f t="shared" si="13"/>
        <v>합격</v>
      </c>
      <c r="I102" s="30" t="str">
        <f t="shared" si="14"/>
        <v>-</v>
      </c>
      <c r="J102" s="30" t="str">
        <f t="shared" si="11"/>
        <v>-</v>
      </c>
      <c r="K102" s="28"/>
      <c r="L102" s="28"/>
    </row>
    <row r="103" spans="4:12" x14ac:dyDescent="0.45">
      <c r="D103" s="49"/>
      <c r="F103" s="48"/>
      <c r="G103" s="5">
        <f t="shared" si="12"/>
        <v>0</v>
      </c>
      <c r="H103" s="2" t="str">
        <f t="shared" si="13"/>
        <v>합격</v>
      </c>
      <c r="I103" s="30" t="str">
        <f t="shared" si="14"/>
        <v>-</v>
      </c>
      <c r="J103" s="30" t="str">
        <f t="shared" si="11"/>
        <v>-</v>
      </c>
      <c r="K103" s="28"/>
      <c r="L103" s="28"/>
    </row>
    <row r="104" spans="4:12" x14ac:dyDescent="0.45">
      <c r="D104" s="49"/>
      <c r="F104" s="48"/>
      <c r="G104" s="5">
        <f t="shared" si="12"/>
        <v>0</v>
      </c>
      <c r="H104" s="2" t="str">
        <f t="shared" si="13"/>
        <v>합격</v>
      </c>
      <c r="I104" s="30" t="str">
        <f t="shared" si="14"/>
        <v>-</v>
      </c>
      <c r="J104" s="30" t="str">
        <f t="shared" si="11"/>
        <v>-</v>
      </c>
      <c r="K104" s="28"/>
      <c r="L104" s="28"/>
    </row>
    <row r="105" spans="4:12" x14ac:dyDescent="0.45">
      <c r="D105" s="49"/>
      <c r="F105" s="48"/>
      <c r="G105" s="5">
        <f t="shared" si="12"/>
        <v>0</v>
      </c>
      <c r="H105" s="2" t="str">
        <f t="shared" si="13"/>
        <v>합격</v>
      </c>
      <c r="I105" s="30" t="str">
        <f t="shared" si="14"/>
        <v>-</v>
      </c>
      <c r="J105" s="30" t="str">
        <f t="shared" si="11"/>
        <v>-</v>
      </c>
      <c r="K105" s="28"/>
      <c r="L105" s="28"/>
    </row>
    <row r="106" spans="4:12" x14ac:dyDescent="0.45">
      <c r="D106" s="49"/>
      <c r="F106" s="48"/>
      <c r="G106" s="5">
        <f t="shared" si="12"/>
        <v>0</v>
      </c>
      <c r="H106" s="2" t="str">
        <f t="shared" si="13"/>
        <v>합격</v>
      </c>
      <c r="I106" s="30" t="str">
        <f t="shared" si="14"/>
        <v>-</v>
      </c>
      <c r="J106" s="30" t="str">
        <f t="shared" si="11"/>
        <v>-</v>
      </c>
      <c r="K106" s="28"/>
      <c r="L106" s="28"/>
    </row>
    <row r="107" spans="4:12" x14ac:dyDescent="0.45">
      <c r="D107" s="49"/>
      <c r="F107" s="48"/>
      <c r="G107" s="5">
        <f t="shared" si="12"/>
        <v>0</v>
      </c>
      <c r="H107" s="2" t="str">
        <f t="shared" si="13"/>
        <v>합격</v>
      </c>
      <c r="I107" s="30" t="str">
        <f t="shared" si="14"/>
        <v>-</v>
      </c>
      <c r="J107" s="30" t="str">
        <f t="shared" si="11"/>
        <v>-</v>
      </c>
      <c r="K107" s="28"/>
      <c r="L107" s="28"/>
    </row>
    <row r="108" spans="4:12" x14ac:dyDescent="0.45">
      <c r="D108" s="49"/>
      <c r="F108" s="48"/>
      <c r="G108" s="5">
        <f t="shared" si="12"/>
        <v>0</v>
      </c>
      <c r="H108" s="2" t="str">
        <f t="shared" si="13"/>
        <v>합격</v>
      </c>
      <c r="I108" s="30" t="str">
        <f t="shared" si="14"/>
        <v>-</v>
      </c>
      <c r="J108" s="30" t="str">
        <f t="shared" si="11"/>
        <v>-</v>
      </c>
      <c r="K108" s="28"/>
      <c r="L108" s="28"/>
    </row>
    <row r="109" spans="4:12" x14ac:dyDescent="0.45">
      <c r="D109" s="49"/>
      <c r="F109" s="48"/>
      <c r="G109" s="5">
        <f t="shared" si="12"/>
        <v>0</v>
      </c>
      <c r="H109" s="2" t="str">
        <f t="shared" si="13"/>
        <v>합격</v>
      </c>
      <c r="I109" s="30" t="str">
        <f t="shared" si="14"/>
        <v>-</v>
      </c>
      <c r="J109" s="30" t="str">
        <f t="shared" si="11"/>
        <v>-</v>
      </c>
      <c r="K109" s="28"/>
      <c r="L109" s="28"/>
    </row>
    <row r="110" spans="4:12" x14ac:dyDescent="0.45">
      <c r="D110" s="49"/>
      <c r="F110" s="48"/>
      <c r="G110" s="5">
        <f t="shared" si="12"/>
        <v>0</v>
      </c>
      <c r="H110" s="2" t="str">
        <f t="shared" si="13"/>
        <v>합격</v>
      </c>
      <c r="I110" s="30" t="str">
        <f t="shared" si="14"/>
        <v>-</v>
      </c>
      <c r="J110" s="30" t="str">
        <f t="shared" si="11"/>
        <v>-</v>
      </c>
      <c r="K110" s="28"/>
      <c r="L110" s="28"/>
    </row>
    <row r="111" spans="4:12" x14ac:dyDescent="0.45">
      <c r="D111" s="49"/>
      <c r="F111" s="48"/>
      <c r="G111" s="5">
        <f t="shared" si="12"/>
        <v>0</v>
      </c>
      <c r="H111" s="2" t="str">
        <f t="shared" si="13"/>
        <v>합격</v>
      </c>
      <c r="I111" s="30" t="str">
        <f t="shared" si="14"/>
        <v>-</v>
      </c>
      <c r="J111" s="30" t="str">
        <f t="shared" si="11"/>
        <v>-</v>
      </c>
      <c r="K111" s="28"/>
      <c r="L111" s="28"/>
    </row>
    <row r="112" spans="4:12" x14ac:dyDescent="0.45">
      <c r="D112" s="49"/>
      <c r="F112" s="48"/>
      <c r="G112" s="5">
        <f t="shared" si="12"/>
        <v>0</v>
      </c>
      <c r="H112" s="2" t="str">
        <f t="shared" si="13"/>
        <v>합격</v>
      </c>
      <c r="I112" s="30" t="str">
        <f t="shared" si="14"/>
        <v>-</v>
      </c>
      <c r="J112" s="30" t="str">
        <f t="shared" si="11"/>
        <v>-</v>
      </c>
      <c r="K112" s="28"/>
      <c r="L112" s="28"/>
    </row>
    <row r="113" spans="4:12" x14ac:dyDescent="0.45">
      <c r="D113" s="49"/>
      <c r="F113" s="48"/>
      <c r="G113" s="5">
        <f t="shared" si="12"/>
        <v>0</v>
      </c>
      <c r="H113" s="2" t="str">
        <f t="shared" si="13"/>
        <v>합격</v>
      </c>
      <c r="I113" s="30" t="str">
        <f t="shared" si="14"/>
        <v>-</v>
      </c>
      <c r="J113" s="30" t="str">
        <f t="shared" si="11"/>
        <v>-</v>
      </c>
      <c r="K113" s="28"/>
      <c r="L113" s="28"/>
    </row>
    <row r="114" spans="4:12" x14ac:dyDescent="0.45">
      <c r="D114" s="49"/>
      <c r="F114" s="48"/>
      <c r="G114" s="5">
        <f t="shared" si="12"/>
        <v>0</v>
      </c>
      <c r="H114" s="2" t="str">
        <f t="shared" si="13"/>
        <v>합격</v>
      </c>
      <c r="I114" s="30" t="str">
        <f t="shared" si="14"/>
        <v>-</v>
      </c>
      <c r="J114" s="30" t="str">
        <f t="shared" si="11"/>
        <v>-</v>
      </c>
      <c r="K114" s="28"/>
      <c r="L114" s="28"/>
    </row>
    <row r="115" spans="4:12" x14ac:dyDescent="0.45">
      <c r="D115" s="49"/>
      <c r="F115" s="48"/>
      <c r="G115" s="5">
        <f t="shared" si="12"/>
        <v>0</v>
      </c>
      <c r="H115" s="2" t="str">
        <f t="shared" si="13"/>
        <v>합격</v>
      </c>
      <c r="I115" s="30" t="str">
        <f t="shared" si="14"/>
        <v>-</v>
      </c>
      <c r="J115" s="30" t="str">
        <f t="shared" si="11"/>
        <v>-</v>
      </c>
      <c r="K115" s="28"/>
      <c r="L115" s="28"/>
    </row>
    <row r="116" spans="4:12" x14ac:dyDescent="0.45">
      <c r="D116" s="49"/>
      <c r="F116" s="48"/>
      <c r="G116" s="5">
        <f t="shared" si="12"/>
        <v>0</v>
      </c>
      <c r="H116" s="2" t="str">
        <f t="shared" si="13"/>
        <v>합격</v>
      </c>
      <c r="I116" s="30" t="str">
        <f t="shared" si="14"/>
        <v>-</v>
      </c>
      <c r="J116" s="30" t="str">
        <f t="shared" si="11"/>
        <v>-</v>
      </c>
      <c r="K116" s="28"/>
      <c r="L116" s="28"/>
    </row>
    <row r="117" spans="4:12" x14ac:dyDescent="0.45">
      <c r="D117" s="49"/>
      <c r="F117" s="48"/>
      <c r="G117" s="5">
        <f t="shared" si="12"/>
        <v>0</v>
      </c>
      <c r="H117" s="2" t="str">
        <f t="shared" si="13"/>
        <v>합격</v>
      </c>
      <c r="I117" s="30" t="str">
        <f t="shared" si="14"/>
        <v>-</v>
      </c>
      <c r="J117" s="30" t="str">
        <f t="shared" si="11"/>
        <v>-</v>
      </c>
      <c r="K117" s="28"/>
      <c r="L117" s="28"/>
    </row>
    <row r="118" spans="4:12" x14ac:dyDescent="0.45">
      <c r="D118" s="49"/>
      <c r="F118" s="48"/>
      <c r="G118" s="5">
        <f t="shared" si="12"/>
        <v>0</v>
      </c>
      <c r="H118" s="2" t="str">
        <f t="shared" si="13"/>
        <v>합격</v>
      </c>
      <c r="I118" s="30" t="str">
        <f t="shared" si="14"/>
        <v>-</v>
      </c>
      <c r="J118" s="30" t="str">
        <f t="shared" si="11"/>
        <v>-</v>
      </c>
      <c r="K118" s="28"/>
      <c r="L118" s="28"/>
    </row>
    <row r="119" spans="4:12" x14ac:dyDescent="0.45">
      <c r="D119" s="49"/>
      <c r="F119" s="48"/>
      <c r="G119" s="5">
        <f t="shared" si="12"/>
        <v>0</v>
      </c>
      <c r="H119" s="2" t="str">
        <f t="shared" si="13"/>
        <v>합격</v>
      </c>
      <c r="I119" s="30" t="str">
        <f t="shared" si="14"/>
        <v>-</v>
      </c>
      <c r="J119" s="30" t="str">
        <f t="shared" si="11"/>
        <v>-</v>
      </c>
      <c r="K119" s="28"/>
      <c r="L119" s="28"/>
    </row>
    <row r="120" spans="4:12" x14ac:dyDescent="0.45">
      <c r="D120" s="49"/>
      <c r="F120" s="48"/>
      <c r="G120" s="5">
        <f t="shared" si="12"/>
        <v>0</v>
      </c>
      <c r="H120" s="2" t="str">
        <f t="shared" si="13"/>
        <v>합격</v>
      </c>
      <c r="I120" s="30" t="str">
        <f t="shared" si="14"/>
        <v>-</v>
      </c>
      <c r="J120" s="30" t="str">
        <f t="shared" si="11"/>
        <v>-</v>
      </c>
      <c r="K120" s="28"/>
      <c r="L120" s="28"/>
    </row>
    <row r="121" spans="4:12" x14ac:dyDescent="0.45">
      <c r="D121" s="49"/>
      <c r="F121" s="48"/>
      <c r="G121" s="5">
        <f t="shared" si="12"/>
        <v>0</v>
      </c>
      <c r="H121" s="2" t="str">
        <f t="shared" si="13"/>
        <v>합격</v>
      </c>
      <c r="I121" s="30" t="str">
        <f t="shared" si="14"/>
        <v>-</v>
      </c>
      <c r="J121" s="30" t="str">
        <f t="shared" si="11"/>
        <v>-</v>
      </c>
      <c r="K121" s="28"/>
      <c r="L121" s="28"/>
    </row>
    <row r="122" spans="4:12" x14ac:dyDescent="0.45">
      <c r="D122" s="49"/>
      <c r="F122" s="48"/>
      <c r="G122" s="5">
        <f t="shared" si="12"/>
        <v>0</v>
      </c>
      <c r="H122" s="2" t="str">
        <f t="shared" si="13"/>
        <v>합격</v>
      </c>
      <c r="I122" s="30" t="str">
        <f t="shared" si="14"/>
        <v>-</v>
      </c>
      <c r="J122" s="30" t="str">
        <f t="shared" si="11"/>
        <v>-</v>
      </c>
      <c r="K122" s="28"/>
      <c r="L122" s="28"/>
    </row>
    <row r="123" spans="4:12" x14ac:dyDescent="0.45">
      <c r="D123" s="49"/>
      <c r="F123" s="48"/>
      <c r="G123" s="5">
        <f t="shared" si="12"/>
        <v>0</v>
      </c>
      <c r="H123" s="2" t="str">
        <f t="shared" si="13"/>
        <v>합격</v>
      </c>
      <c r="I123" s="30" t="str">
        <f t="shared" si="14"/>
        <v>-</v>
      </c>
      <c r="J123" s="30" t="str">
        <f t="shared" si="11"/>
        <v>-</v>
      </c>
      <c r="K123" s="28"/>
      <c r="L123" s="28"/>
    </row>
    <row r="124" spans="4:12" x14ac:dyDescent="0.45">
      <c r="D124" s="49"/>
      <c r="F124" s="48"/>
      <c r="G124" s="5">
        <f t="shared" si="12"/>
        <v>0</v>
      </c>
      <c r="H124" s="2" t="str">
        <f t="shared" si="13"/>
        <v>합격</v>
      </c>
      <c r="I124" s="30" t="str">
        <f t="shared" si="14"/>
        <v>-</v>
      </c>
      <c r="J124" s="30" t="str">
        <f t="shared" ref="J124:J187" si="15">IFERROR(G124/F124,"-")</f>
        <v>-</v>
      </c>
      <c r="K124" s="28"/>
      <c r="L124" s="28"/>
    </row>
    <row r="125" spans="4:12" x14ac:dyDescent="0.45">
      <c r="D125" s="49"/>
      <c r="F125" s="48"/>
      <c r="G125" s="5">
        <f t="shared" si="12"/>
        <v>0</v>
      </c>
      <c r="H125" s="2" t="str">
        <f t="shared" si="13"/>
        <v>합격</v>
      </c>
      <c r="I125" s="30" t="str">
        <f t="shared" si="14"/>
        <v>-</v>
      </c>
      <c r="J125" s="30" t="str">
        <f t="shared" si="15"/>
        <v>-</v>
      </c>
      <c r="K125" s="28"/>
      <c r="L125" s="28"/>
    </row>
    <row r="126" spans="4:12" x14ac:dyDescent="0.45">
      <c r="D126" s="49"/>
      <c r="F126" s="48"/>
      <c r="G126" s="5">
        <f t="shared" si="12"/>
        <v>0</v>
      </c>
      <c r="H126" s="2" t="str">
        <f t="shared" si="13"/>
        <v>합격</v>
      </c>
      <c r="I126" s="30" t="str">
        <f t="shared" si="14"/>
        <v>-</v>
      </c>
      <c r="J126" s="30" t="str">
        <f t="shared" si="15"/>
        <v>-</v>
      </c>
      <c r="K126" s="28"/>
      <c r="L126" s="28"/>
    </row>
    <row r="127" spans="4:12" x14ac:dyDescent="0.45">
      <c r="D127" s="49"/>
      <c r="F127" s="48"/>
      <c r="G127" s="5">
        <f t="shared" si="12"/>
        <v>0</v>
      </c>
      <c r="H127" s="2" t="str">
        <f t="shared" si="13"/>
        <v>합격</v>
      </c>
      <c r="I127" s="30" t="str">
        <f t="shared" si="14"/>
        <v>-</v>
      </c>
      <c r="J127" s="30" t="str">
        <f t="shared" si="15"/>
        <v>-</v>
      </c>
      <c r="K127" s="28"/>
      <c r="L127" s="28"/>
    </row>
    <row r="128" spans="4:12" x14ac:dyDescent="0.45">
      <c r="D128" s="49"/>
      <c r="F128" s="48"/>
      <c r="G128" s="5">
        <f t="shared" si="12"/>
        <v>0</v>
      </c>
      <c r="H128" s="2" t="str">
        <f t="shared" si="13"/>
        <v>합격</v>
      </c>
      <c r="I128" s="30" t="str">
        <f t="shared" si="14"/>
        <v>-</v>
      </c>
      <c r="J128" s="30" t="str">
        <f t="shared" si="15"/>
        <v>-</v>
      </c>
      <c r="K128" s="28"/>
      <c r="L128" s="28"/>
    </row>
    <row r="129" spans="4:12" x14ac:dyDescent="0.45">
      <c r="D129" s="49"/>
      <c r="F129" s="48"/>
      <c r="G129" s="5">
        <f t="shared" si="12"/>
        <v>0</v>
      </c>
      <c r="H129" s="2" t="str">
        <f t="shared" si="13"/>
        <v>합격</v>
      </c>
      <c r="I129" s="30" t="str">
        <f t="shared" si="14"/>
        <v>-</v>
      </c>
      <c r="J129" s="30" t="str">
        <f t="shared" si="15"/>
        <v>-</v>
      </c>
      <c r="K129" s="28"/>
      <c r="L129" s="28"/>
    </row>
    <row r="130" spans="4:12" x14ac:dyDescent="0.45">
      <c r="D130" s="49"/>
      <c r="F130" s="48"/>
      <c r="G130" s="5">
        <f t="shared" si="12"/>
        <v>0</v>
      </c>
      <c r="H130" s="2" t="str">
        <f t="shared" si="13"/>
        <v>합격</v>
      </c>
      <c r="I130" s="30" t="str">
        <f t="shared" si="14"/>
        <v>-</v>
      </c>
      <c r="J130" s="30" t="str">
        <f t="shared" si="15"/>
        <v>-</v>
      </c>
      <c r="K130" s="28"/>
      <c r="L130" s="28"/>
    </row>
    <row r="131" spans="4:12" x14ac:dyDescent="0.45">
      <c r="D131" s="49"/>
      <c r="F131" s="48"/>
      <c r="G131" s="5">
        <f t="shared" si="12"/>
        <v>0</v>
      </c>
      <c r="H131" s="2" t="str">
        <f t="shared" si="13"/>
        <v>합격</v>
      </c>
      <c r="I131" s="30" t="str">
        <f t="shared" si="14"/>
        <v>-</v>
      </c>
      <c r="J131" s="30" t="str">
        <f t="shared" si="15"/>
        <v>-</v>
      </c>
      <c r="K131" s="28"/>
      <c r="L131" s="28"/>
    </row>
    <row r="132" spans="4:12" x14ac:dyDescent="0.45">
      <c r="D132" s="49"/>
      <c r="F132" s="48"/>
      <c r="G132" s="5">
        <f t="shared" si="12"/>
        <v>0</v>
      </c>
      <c r="H132" s="2" t="str">
        <f t="shared" si="13"/>
        <v>합격</v>
      </c>
      <c r="I132" s="30" t="str">
        <f t="shared" si="14"/>
        <v>-</v>
      </c>
      <c r="J132" s="30" t="str">
        <f t="shared" si="15"/>
        <v>-</v>
      </c>
      <c r="K132" s="28"/>
      <c r="L132" s="28"/>
    </row>
    <row r="133" spans="4:12" x14ac:dyDescent="0.45">
      <c r="D133" s="49"/>
      <c r="F133" s="48"/>
      <c r="G133" s="5">
        <f t="shared" si="12"/>
        <v>0</v>
      </c>
      <c r="H133" s="2" t="str">
        <f t="shared" si="13"/>
        <v>합격</v>
      </c>
      <c r="I133" s="30" t="str">
        <f t="shared" si="14"/>
        <v>-</v>
      </c>
      <c r="J133" s="30" t="str">
        <f t="shared" si="15"/>
        <v>-</v>
      </c>
      <c r="K133" s="28"/>
      <c r="L133" s="28"/>
    </row>
    <row r="134" spans="4:12" x14ac:dyDescent="0.45">
      <c r="D134" s="49"/>
      <c r="F134" s="48"/>
      <c r="G134" s="5">
        <f t="shared" si="12"/>
        <v>0</v>
      </c>
      <c r="H134" s="2" t="str">
        <f t="shared" si="13"/>
        <v>합격</v>
      </c>
      <c r="I134" s="30" t="str">
        <f t="shared" si="14"/>
        <v>-</v>
      </c>
      <c r="J134" s="30" t="str">
        <f t="shared" si="15"/>
        <v>-</v>
      </c>
      <c r="K134" s="28"/>
      <c r="L134" s="28"/>
    </row>
    <row r="135" spans="4:12" x14ac:dyDescent="0.45">
      <c r="D135" s="49"/>
      <c r="F135" s="48"/>
      <c r="G135" s="5">
        <f t="shared" si="12"/>
        <v>0</v>
      </c>
      <c r="H135" s="2" t="str">
        <f t="shared" si="13"/>
        <v>합격</v>
      </c>
      <c r="I135" s="30" t="str">
        <f t="shared" si="14"/>
        <v>-</v>
      </c>
      <c r="J135" s="30" t="str">
        <f t="shared" si="15"/>
        <v>-</v>
      </c>
      <c r="K135" s="28"/>
      <c r="L135" s="28"/>
    </row>
    <row r="136" spans="4:12" x14ac:dyDescent="0.45">
      <c r="D136" s="49"/>
      <c r="F136" s="48"/>
      <c r="G136" s="5">
        <f t="shared" si="12"/>
        <v>0</v>
      </c>
      <c r="H136" s="2" t="str">
        <f t="shared" si="13"/>
        <v>합격</v>
      </c>
      <c r="I136" s="30" t="str">
        <f t="shared" si="14"/>
        <v>-</v>
      </c>
      <c r="J136" s="30" t="str">
        <f t="shared" si="15"/>
        <v>-</v>
      </c>
      <c r="K136" s="28"/>
      <c r="L136" s="28"/>
    </row>
    <row r="137" spans="4:12" x14ac:dyDescent="0.45">
      <c r="D137" s="49"/>
      <c r="F137" s="48"/>
      <c r="G137" s="5">
        <f t="shared" ref="G137:G200" si="16">IFERROR(POWER((B137/C137)*F137^3,1/3),0)</f>
        <v>0</v>
      </c>
      <c r="H137" s="2" t="str">
        <f t="shared" ref="H137:H200" si="17">IF(OR(D137&lt;G137*0.9,D137&gt;G137*1.1),"불합격","합격")</f>
        <v>합격</v>
      </c>
      <c r="I137" s="30" t="str">
        <f t="shared" si="14"/>
        <v>-</v>
      </c>
      <c r="J137" s="30" t="str">
        <f t="shared" si="15"/>
        <v>-</v>
      </c>
      <c r="K137" s="28"/>
      <c r="L137" s="28"/>
    </row>
    <row r="138" spans="4:12" x14ac:dyDescent="0.45">
      <c r="D138" s="49"/>
      <c r="F138" s="48"/>
      <c r="G138" s="5">
        <f t="shared" si="16"/>
        <v>0</v>
      </c>
      <c r="H138" s="2" t="str">
        <f t="shared" si="17"/>
        <v>합격</v>
      </c>
      <c r="I138" s="30" t="str">
        <f t="shared" si="14"/>
        <v>-</v>
      </c>
      <c r="J138" s="30" t="str">
        <f t="shared" si="15"/>
        <v>-</v>
      </c>
      <c r="K138" s="28"/>
      <c r="L138" s="28"/>
    </row>
    <row r="139" spans="4:12" x14ac:dyDescent="0.45">
      <c r="D139" s="49"/>
      <c r="F139" s="48"/>
      <c r="G139" s="5">
        <f t="shared" si="16"/>
        <v>0</v>
      </c>
      <c r="H139" s="2" t="str">
        <f t="shared" si="17"/>
        <v>합격</v>
      </c>
      <c r="I139" s="30" t="str">
        <f t="shared" ref="I139:I202" si="18">IFERROR(D139/G139,"-")</f>
        <v>-</v>
      </c>
      <c r="J139" s="30" t="str">
        <f t="shared" si="15"/>
        <v>-</v>
      </c>
      <c r="K139" s="28"/>
      <c r="L139" s="28"/>
    </row>
    <row r="140" spans="4:12" x14ac:dyDescent="0.45">
      <c r="D140" s="49"/>
      <c r="F140" s="48"/>
      <c r="G140" s="5">
        <f t="shared" si="16"/>
        <v>0</v>
      </c>
      <c r="H140" s="2" t="str">
        <f t="shared" si="17"/>
        <v>합격</v>
      </c>
      <c r="I140" s="30" t="str">
        <f t="shared" si="18"/>
        <v>-</v>
      </c>
      <c r="J140" s="30" t="str">
        <f t="shared" si="15"/>
        <v>-</v>
      </c>
      <c r="K140" s="28"/>
      <c r="L140" s="28"/>
    </row>
    <row r="141" spans="4:12" x14ac:dyDescent="0.45">
      <c r="D141" s="49"/>
      <c r="F141" s="48"/>
      <c r="G141" s="5">
        <f t="shared" si="16"/>
        <v>0</v>
      </c>
      <c r="H141" s="2" t="str">
        <f t="shared" si="17"/>
        <v>합격</v>
      </c>
      <c r="I141" s="30" t="str">
        <f t="shared" si="18"/>
        <v>-</v>
      </c>
      <c r="J141" s="30" t="str">
        <f t="shared" si="15"/>
        <v>-</v>
      </c>
      <c r="K141" s="28"/>
      <c r="L141" s="28"/>
    </row>
    <row r="142" spans="4:12" x14ac:dyDescent="0.45">
      <c r="D142" s="49"/>
      <c r="F142" s="48"/>
      <c r="G142" s="5">
        <f t="shared" si="16"/>
        <v>0</v>
      </c>
      <c r="H142" s="2" t="str">
        <f t="shared" si="17"/>
        <v>합격</v>
      </c>
      <c r="I142" s="30" t="str">
        <f t="shared" si="18"/>
        <v>-</v>
      </c>
      <c r="J142" s="30" t="str">
        <f t="shared" si="15"/>
        <v>-</v>
      </c>
      <c r="K142" s="28"/>
      <c r="L142" s="28"/>
    </row>
    <row r="143" spans="4:12" x14ac:dyDescent="0.45">
      <c r="D143" s="49"/>
      <c r="F143" s="48"/>
      <c r="G143" s="5">
        <f t="shared" si="16"/>
        <v>0</v>
      </c>
      <c r="H143" s="2" t="str">
        <f t="shared" si="17"/>
        <v>합격</v>
      </c>
      <c r="I143" s="30" t="str">
        <f t="shared" si="18"/>
        <v>-</v>
      </c>
      <c r="J143" s="30" t="str">
        <f t="shared" si="15"/>
        <v>-</v>
      </c>
      <c r="K143" s="28"/>
      <c r="L143" s="28"/>
    </row>
    <row r="144" spans="4:12" x14ac:dyDescent="0.45">
      <c r="D144" s="49"/>
      <c r="F144" s="48"/>
      <c r="G144" s="5">
        <f t="shared" si="16"/>
        <v>0</v>
      </c>
      <c r="H144" s="2" t="str">
        <f t="shared" si="17"/>
        <v>합격</v>
      </c>
      <c r="I144" s="30" t="str">
        <f t="shared" si="18"/>
        <v>-</v>
      </c>
      <c r="J144" s="30" t="str">
        <f t="shared" si="15"/>
        <v>-</v>
      </c>
      <c r="K144" s="28"/>
      <c r="L144" s="28"/>
    </row>
    <row r="145" spans="4:12" x14ac:dyDescent="0.45">
      <c r="D145" s="49"/>
      <c r="F145" s="48"/>
      <c r="G145" s="5">
        <f t="shared" si="16"/>
        <v>0</v>
      </c>
      <c r="H145" s="2" t="str">
        <f t="shared" si="17"/>
        <v>합격</v>
      </c>
      <c r="I145" s="30" t="str">
        <f t="shared" si="18"/>
        <v>-</v>
      </c>
      <c r="J145" s="30" t="str">
        <f t="shared" si="15"/>
        <v>-</v>
      </c>
      <c r="K145" s="28"/>
      <c r="L145" s="28"/>
    </row>
    <row r="146" spans="4:12" x14ac:dyDescent="0.45">
      <c r="D146" s="49"/>
      <c r="F146" s="48"/>
      <c r="G146" s="5">
        <f t="shared" si="16"/>
        <v>0</v>
      </c>
      <c r="H146" s="2" t="str">
        <f t="shared" si="17"/>
        <v>합격</v>
      </c>
      <c r="I146" s="30" t="str">
        <f t="shared" si="18"/>
        <v>-</v>
      </c>
      <c r="J146" s="30" t="str">
        <f t="shared" si="15"/>
        <v>-</v>
      </c>
      <c r="K146" s="28"/>
      <c r="L146" s="28"/>
    </row>
    <row r="147" spans="4:12" x14ac:dyDescent="0.45">
      <c r="D147" s="49"/>
      <c r="F147" s="48"/>
      <c r="G147" s="5">
        <f t="shared" si="16"/>
        <v>0</v>
      </c>
      <c r="H147" s="2" t="str">
        <f t="shared" si="17"/>
        <v>합격</v>
      </c>
      <c r="I147" s="30" t="str">
        <f t="shared" si="18"/>
        <v>-</v>
      </c>
      <c r="J147" s="30" t="str">
        <f t="shared" si="15"/>
        <v>-</v>
      </c>
      <c r="K147" s="28"/>
      <c r="L147" s="28"/>
    </row>
    <row r="148" spans="4:12" x14ac:dyDescent="0.45">
      <c r="D148" s="49"/>
      <c r="F148" s="48"/>
      <c r="G148" s="5">
        <f t="shared" si="16"/>
        <v>0</v>
      </c>
      <c r="H148" s="2" t="str">
        <f t="shared" si="17"/>
        <v>합격</v>
      </c>
      <c r="I148" s="30" t="str">
        <f t="shared" si="18"/>
        <v>-</v>
      </c>
      <c r="J148" s="30" t="str">
        <f t="shared" si="15"/>
        <v>-</v>
      </c>
      <c r="K148" s="28"/>
      <c r="L148" s="28"/>
    </row>
    <row r="149" spans="4:12" x14ac:dyDescent="0.45">
      <c r="D149" s="49"/>
      <c r="F149" s="48"/>
      <c r="G149" s="5">
        <f t="shared" si="16"/>
        <v>0</v>
      </c>
      <c r="H149" s="2" t="str">
        <f t="shared" si="17"/>
        <v>합격</v>
      </c>
      <c r="I149" s="30" t="str">
        <f t="shared" si="18"/>
        <v>-</v>
      </c>
      <c r="J149" s="30" t="str">
        <f t="shared" si="15"/>
        <v>-</v>
      </c>
      <c r="K149" s="28"/>
      <c r="L149" s="28"/>
    </row>
    <row r="150" spans="4:12" x14ac:dyDescent="0.45">
      <c r="D150" s="49"/>
      <c r="F150" s="48"/>
      <c r="G150" s="5">
        <f t="shared" si="16"/>
        <v>0</v>
      </c>
      <c r="H150" s="2" t="str">
        <f t="shared" si="17"/>
        <v>합격</v>
      </c>
      <c r="I150" s="30" t="str">
        <f t="shared" si="18"/>
        <v>-</v>
      </c>
      <c r="J150" s="30" t="str">
        <f t="shared" si="15"/>
        <v>-</v>
      </c>
      <c r="K150" s="28"/>
      <c r="L150" s="28"/>
    </row>
    <row r="151" spans="4:12" x14ac:dyDescent="0.45">
      <c r="D151" s="49"/>
      <c r="F151" s="48"/>
      <c r="G151" s="5">
        <f t="shared" si="16"/>
        <v>0</v>
      </c>
      <c r="H151" s="2" t="str">
        <f t="shared" si="17"/>
        <v>합격</v>
      </c>
      <c r="I151" s="30" t="str">
        <f t="shared" si="18"/>
        <v>-</v>
      </c>
      <c r="J151" s="30" t="str">
        <f t="shared" si="15"/>
        <v>-</v>
      </c>
      <c r="K151" s="28"/>
      <c r="L151" s="28"/>
    </row>
    <row r="152" spans="4:12" x14ac:dyDescent="0.45">
      <c r="D152" s="49"/>
      <c r="F152" s="48"/>
      <c r="G152" s="5">
        <f t="shared" si="16"/>
        <v>0</v>
      </c>
      <c r="H152" s="2" t="str">
        <f t="shared" si="17"/>
        <v>합격</v>
      </c>
      <c r="I152" s="30" t="str">
        <f t="shared" si="18"/>
        <v>-</v>
      </c>
      <c r="J152" s="30" t="str">
        <f t="shared" si="15"/>
        <v>-</v>
      </c>
      <c r="K152" s="28"/>
      <c r="L152" s="28"/>
    </row>
    <row r="153" spans="4:12" x14ac:dyDescent="0.45">
      <c r="D153" s="49"/>
      <c r="F153" s="48"/>
      <c r="G153" s="5">
        <f t="shared" si="16"/>
        <v>0</v>
      </c>
      <c r="H153" s="2" t="str">
        <f t="shared" si="17"/>
        <v>합격</v>
      </c>
      <c r="I153" s="30" t="str">
        <f t="shared" si="18"/>
        <v>-</v>
      </c>
      <c r="J153" s="30" t="str">
        <f t="shared" si="15"/>
        <v>-</v>
      </c>
      <c r="K153" s="28"/>
      <c r="L153" s="28"/>
    </row>
    <row r="154" spans="4:12" x14ac:dyDescent="0.45">
      <c r="D154" s="49"/>
      <c r="F154" s="48"/>
      <c r="G154" s="5">
        <f t="shared" si="16"/>
        <v>0</v>
      </c>
      <c r="H154" s="2" t="str">
        <f t="shared" si="17"/>
        <v>합격</v>
      </c>
      <c r="I154" s="30" t="str">
        <f t="shared" si="18"/>
        <v>-</v>
      </c>
      <c r="J154" s="30" t="str">
        <f t="shared" si="15"/>
        <v>-</v>
      </c>
      <c r="K154" s="28"/>
      <c r="L154" s="28"/>
    </row>
    <row r="155" spans="4:12" x14ac:dyDescent="0.45">
      <c r="D155" s="49"/>
      <c r="F155" s="48"/>
      <c r="G155" s="5">
        <f t="shared" si="16"/>
        <v>0</v>
      </c>
      <c r="H155" s="2" t="str">
        <f t="shared" si="17"/>
        <v>합격</v>
      </c>
      <c r="I155" s="30" t="str">
        <f t="shared" si="18"/>
        <v>-</v>
      </c>
      <c r="J155" s="30" t="str">
        <f t="shared" si="15"/>
        <v>-</v>
      </c>
      <c r="K155" s="28"/>
      <c r="L155" s="28"/>
    </row>
    <row r="156" spans="4:12" x14ac:dyDescent="0.45">
      <c r="D156" s="49"/>
      <c r="F156" s="48"/>
      <c r="G156" s="5">
        <f t="shared" si="16"/>
        <v>0</v>
      </c>
      <c r="H156" s="2" t="str">
        <f t="shared" si="17"/>
        <v>합격</v>
      </c>
      <c r="I156" s="30" t="str">
        <f t="shared" si="18"/>
        <v>-</v>
      </c>
      <c r="J156" s="30" t="str">
        <f t="shared" si="15"/>
        <v>-</v>
      </c>
      <c r="K156" s="28"/>
      <c r="L156" s="28"/>
    </row>
    <row r="157" spans="4:12" x14ac:dyDescent="0.45">
      <c r="D157" s="49"/>
      <c r="F157" s="48"/>
      <c r="G157" s="5">
        <f t="shared" si="16"/>
        <v>0</v>
      </c>
      <c r="H157" s="2" t="str">
        <f t="shared" si="17"/>
        <v>합격</v>
      </c>
      <c r="I157" s="30" t="str">
        <f t="shared" si="18"/>
        <v>-</v>
      </c>
      <c r="J157" s="30" t="str">
        <f t="shared" si="15"/>
        <v>-</v>
      </c>
      <c r="K157" s="28"/>
      <c r="L157" s="28"/>
    </row>
    <row r="158" spans="4:12" x14ac:dyDescent="0.45">
      <c r="D158" s="49"/>
      <c r="F158" s="48"/>
      <c r="G158" s="5">
        <f t="shared" si="16"/>
        <v>0</v>
      </c>
      <c r="H158" s="2" t="str">
        <f t="shared" si="17"/>
        <v>합격</v>
      </c>
      <c r="I158" s="30" t="str">
        <f t="shared" si="18"/>
        <v>-</v>
      </c>
      <c r="J158" s="30" t="str">
        <f t="shared" si="15"/>
        <v>-</v>
      </c>
      <c r="K158" s="28"/>
      <c r="L158" s="28"/>
    </row>
    <row r="159" spans="4:12" x14ac:dyDescent="0.45">
      <c r="D159" s="49"/>
      <c r="F159" s="48"/>
      <c r="G159" s="5">
        <f t="shared" si="16"/>
        <v>0</v>
      </c>
      <c r="H159" s="2" t="str">
        <f t="shared" si="17"/>
        <v>합격</v>
      </c>
      <c r="I159" s="30" t="str">
        <f t="shared" si="18"/>
        <v>-</v>
      </c>
      <c r="J159" s="30" t="str">
        <f t="shared" si="15"/>
        <v>-</v>
      </c>
      <c r="K159" s="28"/>
      <c r="L159" s="28"/>
    </row>
    <row r="160" spans="4:12" x14ac:dyDescent="0.45">
      <c r="D160" s="49"/>
      <c r="F160" s="48"/>
      <c r="G160" s="5">
        <f t="shared" si="16"/>
        <v>0</v>
      </c>
      <c r="H160" s="2" t="str">
        <f t="shared" si="17"/>
        <v>합격</v>
      </c>
      <c r="I160" s="30" t="str">
        <f t="shared" si="18"/>
        <v>-</v>
      </c>
      <c r="J160" s="30" t="str">
        <f t="shared" si="15"/>
        <v>-</v>
      </c>
      <c r="K160" s="28"/>
      <c r="L160" s="28"/>
    </row>
    <row r="161" spans="4:12" x14ac:dyDescent="0.45">
      <c r="D161" s="49"/>
      <c r="F161" s="48"/>
      <c r="G161" s="5">
        <f t="shared" si="16"/>
        <v>0</v>
      </c>
      <c r="H161" s="2" t="str">
        <f t="shared" si="17"/>
        <v>합격</v>
      </c>
      <c r="I161" s="30" t="str">
        <f t="shared" si="18"/>
        <v>-</v>
      </c>
      <c r="J161" s="30" t="str">
        <f t="shared" si="15"/>
        <v>-</v>
      </c>
      <c r="K161" s="28"/>
      <c r="L161" s="28"/>
    </row>
    <row r="162" spans="4:12" x14ac:dyDescent="0.45">
      <c r="D162" s="49"/>
      <c r="F162" s="48"/>
      <c r="G162" s="5">
        <f t="shared" si="16"/>
        <v>0</v>
      </c>
      <c r="H162" s="2" t="str">
        <f t="shared" si="17"/>
        <v>합격</v>
      </c>
      <c r="I162" s="30" t="str">
        <f t="shared" si="18"/>
        <v>-</v>
      </c>
      <c r="J162" s="30" t="str">
        <f t="shared" si="15"/>
        <v>-</v>
      </c>
      <c r="K162" s="28"/>
      <c r="L162" s="28"/>
    </row>
    <row r="163" spans="4:12" x14ac:dyDescent="0.45">
      <c r="D163" s="49"/>
      <c r="F163" s="48"/>
      <c r="G163" s="5">
        <f t="shared" si="16"/>
        <v>0</v>
      </c>
      <c r="H163" s="2" t="str">
        <f t="shared" si="17"/>
        <v>합격</v>
      </c>
      <c r="I163" s="30" t="str">
        <f t="shared" si="18"/>
        <v>-</v>
      </c>
      <c r="J163" s="30" t="str">
        <f t="shared" si="15"/>
        <v>-</v>
      </c>
      <c r="K163" s="28"/>
      <c r="L163" s="28"/>
    </row>
    <row r="164" spans="4:12" x14ac:dyDescent="0.45">
      <c r="D164" s="49"/>
      <c r="F164" s="48"/>
      <c r="G164" s="5">
        <f t="shared" si="16"/>
        <v>0</v>
      </c>
      <c r="H164" s="2" t="str">
        <f t="shared" si="17"/>
        <v>합격</v>
      </c>
      <c r="I164" s="30" t="str">
        <f t="shared" si="18"/>
        <v>-</v>
      </c>
      <c r="J164" s="30" t="str">
        <f t="shared" si="15"/>
        <v>-</v>
      </c>
      <c r="K164" s="28"/>
      <c r="L164" s="28"/>
    </row>
    <row r="165" spans="4:12" x14ac:dyDescent="0.45">
      <c r="D165" s="49"/>
      <c r="F165" s="48"/>
      <c r="G165" s="5">
        <f t="shared" si="16"/>
        <v>0</v>
      </c>
      <c r="H165" s="2" t="str">
        <f t="shared" si="17"/>
        <v>합격</v>
      </c>
      <c r="I165" s="30" t="str">
        <f t="shared" si="18"/>
        <v>-</v>
      </c>
      <c r="J165" s="30" t="str">
        <f t="shared" si="15"/>
        <v>-</v>
      </c>
      <c r="K165" s="28"/>
      <c r="L165" s="28"/>
    </row>
    <row r="166" spans="4:12" x14ac:dyDescent="0.45">
      <c r="D166" s="49"/>
      <c r="F166" s="48"/>
      <c r="G166" s="5">
        <f t="shared" si="16"/>
        <v>0</v>
      </c>
      <c r="H166" s="2" t="str">
        <f t="shared" si="17"/>
        <v>합격</v>
      </c>
      <c r="I166" s="30" t="str">
        <f t="shared" si="18"/>
        <v>-</v>
      </c>
      <c r="J166" s="30" t="str">
        <f t="shared" si="15"/>
        <v>-</v>
      </c>
      <c r="K166" s="28"/>
      <c r="L166" s="28"/>
    </row>
    <row r="167" spans="4:12" x14ac:dyDescent="0.45">
      <c r="D167" s="49"/>
      <c r="F167" s="48"/>
      <c r="G167" s="5">
        <f t="shared" si="16"/>
        <v>0</v>
      </c>
      <c r="H167" s="2" t="str">
        <f t="shared" si="17"/>
        <v>합격</v>
      </c>
      <c r="I167" s="30" t="str">
        <f t="shared" si="18"/>
        <v>-</v>
      </c>
      <c r="J167" s="30" t="str">
        <f t="shared" si="15"/>
        <v>-</v>
      </c>
      <c r="K167" s="28"/>
      <c r="L167" s="28"/>
    </row>
    <row r="168" spans="4:12" x14ac:dyDescent="0.45">
      <c r="D168" s="49"/>
      <c r="F168" s="48"/>
      <c r="G168" s="5">
        <f t="shared" si="16"/>
        <v>0</v>
      </c>
      <c r="H168" s="2" t="str">
        <f t="shared" si="17"/>
        <v>합격</v>
      </c>
      <c r="I168" s="30" t="str">
        <f t="shared" si="18"/>
        <v>-</v>
      </c>
      <c r="J168" s="30" t="str">
        <f t="shared" si="15"/>
        <v>-</v>
      </c>
      <c r="K168" s="28"/>
      <c r="L168" s="28"/>
    </row>
    <row r="169" spans="4:12" x14ac:dyDescent="0.45">
      <c r="D169" s="49"/>
      <c r="F169" s="48"/>
      <c r="G169" s="5">
        <f t="shared" si="16"/>
        <v>0</v>
      </c>
      <c r="H169" s="2" t="str">
        <f t="shared" si="17"/>
        <v>합격</v>
      </c>
      <c r="I169" s="30" t="str">
        <f t="shared" si="18"/>
        <v>-</v>
      </c>
      <c r="J169" s="30" t="str">
        <f t="shared" si="15"/>
        <v>-</v>
      </c>
      <c r="K169" s="28"/>
      <c r="L169" s="28"/>
    </row>
    <row r="170" spans="4:12" x14ac:dyDescent="0.45">
      <c r="D170" s="49"/>
      <c r="F170" s="48"/>
      <c r="G170" s="5">
        <f t="shared" si="16"/>
        <v>0</v>
      </c>
      <c r="H170" s="2" t="str">
        <f t="shared" si="17"/>
        <v>합격</v>
      </c>
      <c r="I170" s="30" t="str">
        <f t="shared" si="18"/>
        <v>-</v>
      </c>
      <c r="J170" s="30" t="str">
        <f t="shared" si="15"/>
        <v>-</v>
      </c>
      <c r="K170" s="28"/>
      <c r="L170" s="28"/>
    </row>
    <row r="171" spans="4:12" x14ac:dyDescent="0.45">
      <c r="D171" s="49"/>
      <c r="F171" s="48"/>
      <c r="G171" s="5">
        <f t="shared" si="16"/>
        <v>0</v>
      </c>
      <c r="H171" s="2" t="str">
        <f t="shared" si="17"/>
        <v>합격</v>
      </c>
      <c r="I171" s="30" t="str">
        <f t="shared" si="18"/>
        <v>-</v>
      </c>
      <c r="J171" s="30" t="str">
        <f t="shared" si="15"/>
        <v>-</v>
      </c>
      <c r="K171" s="28"/>
      <c r="L171" s="28"/>
    </row>
    <row r="172" spans="4:12" x14ac:dyDescent="0.45">
      <c r="D172" s="49"/>
      <c r="F172" s="48"/>
      <c r="G172" s="5">
        <f t="shared" si="16"/>
        <v>0</v>
      </c>
      <c r="H172" s="2" t="str">
        <f t="shared" si="17"/>
        <v>합격</v>
      </c>
      <c r="I172" s="30" t="str">
        <f t="shared" si="18"/>
        <v>-</v>
      </c>
      <c r="J172" s="30" t="str">
        <f t="shared" si="15"/>
        <v>-</v>
      </c>
      <c r="K172" s="28"/>
      <c r="L172" s="28"/>
    </row>
    <row r="173" spans="4:12" x14ac:dyDescent="0.45">
      <c r="D173" s="49"/>
      <c r="F173" s="48"/>
      <c r="G173" s="5">
        <f t="shared" si="16"/>
        <v>0</v>
      </c>
      <c r="H173" s="2" t="str">
        <f t="shared" si="17"/>
        <v>합격</v>
      </c>
      <c r="I173" s="30" t="str">
        <f t="shared" si="18"/>
        <v>-</v>
      </c>
      <c r="J173" s="30" t="str">
        <f t="shared" si="15"/>
        <v>-</v>
      </c>
      <c r="K173" s="28"/>
      <c r="L173" s="28"/>
    </row>
    <row r="174" spans="4:12" x14ac:dyDescent="0.45">
      <c r="D174" s="49"/>
      <c r="F174" s="48"/>
      <c r="G174" s="5">
        <f t="shared" si="16"/>
        <v>0</v>
      </c>
      <c r="H174" s="2" t="str">
        <f t="shared" si="17"/>
        <v>합격</v>
      </c>
      <c r="I174" s="30" t="str">
        <f t="shared" si="18"/>
        <v>-</v>
      </c>
      <c r="J174" s="30" t="str">
        <f t="shared" si="15"/>
        <v>-</v>
      </c>
      <c r="K174" s="28"/>
      <c r="L174" s="28"/>
    </row>
    <row r="175" spans="4:12" x14ac:dyDescent="0.45">
      <c r="D175" s="49"/>
      <c r="F175" s="48"/>
      <c r="G175" s="5">
        <f t="shared" si="16"/>
        <v>0</v>
      </c>
      <c r="H175" s="2" t="str">
        <f t="shared" si="17"/>
        <v>합격</v>
      </c>
      <c r="I175" s="30" t="str">
        <f t="shared" si="18"/>
        <v>-</v>
      </c>
      <c r="J175" s="30" t="str">
        <f t="shared" si="15"/>
        <v>-</v>
      </c>
      <c r="K175" s="28"/>
      <c r="L175" s="28"/>
    </row>
    <row r="176" spans="4:12" x14ac:dyDescent="0.45">
      <c r="D176" s="49"/>
      <c r="F176" s="48"/>
      <c r="G176" s="5">
        <f t="shared" si="16"/>
        <v>0</v>
      </c>
      <c r="H176" s="2" t="str">
        <f t="shared" si="17"/>
        <v>합격</v>
      </c>
      <c r="I176" s="30" t="str">
        <f t="shared" si="18"/>
        <v>-</v>
      </c>
      <c r="J176" s="30" t="str">
        <f t="shared" si="15"/>
        <v>-</v>
      </c>
      <c r="K176" s="28"/>
      <c r="L176" s="28"/>
    </row>
    <row r="177" spans="4:12" x14ac:dyDescent="0.45">
      <c r="D177" s="49"/>
      <c r="F177" s="48"/>
      <c r="G177" s="5">
        <f t="shared" si="16"/>
        <v>0</v>
      </c>
      <c r="H177" s="2" t="str">
        <f t="shared" si="17"/>
        <v>합격</v>
      </c>
      <c r="I177" s="30" t="str">
        <f t="shared" si="18"/>
        <v>-</v>
      </c>
      <c r="J177" s="30" t="str">
        <f t="shared" si="15"/>
        <v>-</v>
      </c>
      <c r="K177" s="28"/>
      <c r="L177" s="28"/>
    </row>
    <row r="178" spans="4:12" x14ac:dyDescent="0.45">
      <c r="D178" s="49"/>
      <c r="F178" s="48"/>
      <c r="G178" s="5">
        <f t="shared" si="16"/>
        <v>0</v>
      </c>
      <c r="H178" s="2" t="str">
        <f t="shared" si="17"/>
        <v>합격</v>
      </c>
      <c r="I178" s="30" t="str">
        <f t="shared" si="18"/>
        <v>-</v>
      </c>
      <c r="J178" s="30" t="str">
        <f t="shared" si="15"/>
        <v>-</v>
      </c>
      <c r="K178" s="28"/>
      <c r="L178" s="28"/>
    </row>
    <row r="179" spans="4:12" x14ac:dyDescent="0.45">
      <c r="D179" s="49"/>
      <c r="F179" s="48"/>
      <c r="G179" s="5">
        <f t="shared" si="16"/>
        <v>0</v>
      </c>
      <c r="H179" s="2" t="str">
        <f t="shared" si="17"/>
        <v>합격</v>
      </c>
      <c r="I179" s="30" t="str">
        <f t="shared" si="18"/>
        <v>-</v>
      </c>
      <c r="J179" s="30" t="str">
        <f t="shared" si="15"/>
        <v>-</v>
      </c>
      <c r="K179" s="28"/>
      <c r="L179" s="28"/>
    </row>
    <row r="180" spans="4:12" x14ac:dyDescent="0.45">
      <c r="D180" s="49"/>
      <c r="F180" s="48"/>
      <c r="G180" s="5">
        <f t="shared" si="16"/>
        <v>0</v>
      </c>
      <c r="H180" s="2" t="str">
        <f t="shared" si="17"/>
        <v>합격</v>
      </c>
      <c r="I180" s="30" t="str">
        <f t="shared" si="18"/>
        <v>-</v>
      </c>
      <c r="J180" s="30" t="str">
        <f t="shared" si="15"/>
        <v>-</v>
      </c>
      <c r="K180" s="28"/>
      <c r="L180" s="28"/>
    </row>
    <row r="181" spans="4:12" x14ac:dyDescent="0.45">
      <c r="D181" s="49"/>
      <c r="F181" s="48"/>
      <c r="G181" s="5">
        <f t="shared" si="16"/>
        <v>0</v>
      </c>
      <c r="H181" s="2" t="str">
        <f t="shared" si="17"/>
        <v>합격</v>
      </c>
      <c r="I181" s="30" t="str">
        <f t="shared" si="18"/>
        <v>-</v>
      </c>
      <c r="J181" s="30" t="str">
        <f t="shared" si="15"/>
        <v>-</v>
      </c>
      <c r="K181" s="28"/>
      <c r="L181" s="28"/>
    </row>
    <row r="182" spans="4:12" x14ac:dyDescent="0.45">
      <c r="D182" s="49"/>
      <c r="F182" s="48"/>
      <c r="G182" s="5">
        <f t="shared" si="16"/>
        <v>0</v>
      </c>
      <c r="H182" s="2" t="str">
        <f t="shared" si="17"/>
        <v>합격</v>
      </c>
      <c r="I182" s="30" t="str">
        <f t="shared" si="18"/>
        <v>-</v>
      </c>
      <c r="J182" s="30" t="str">
        <f t="shared" si="15"/>
        <v>-</v>
      </c>
      <c r="K182" s="28"/>
      <c r="L182" s="28"/>
    </row>
    <row r="183" spans="4:12" x14ac:dyDescent="0.45">
      <c r="D183" s="49"/>
      <c r="F183" s="48"/>
      <c r="G183" s="5">
        <f t="shared" si="16"/>
        <v>0</v>
      </c>
      <c r="H183" s="2" t="str">
        <f t="shared" si="17"/>
        <v>합격</v>
      </c>
      <c r="I183" s="30" t="str">
        <f t="shared" si="18"/>
        <v>-</v>
      </c>
      <c r="J183" s="30" t="str">
        <f t="shared" si="15"/>
        <v>-</v>
      </c>
      <c r="K183" s="28"/>
      <c r="L183" s="28"/>
    </row>
    <row r="184" spans="4:12" x14ac:dyDescent="0.45">
      <c r="D184" s="49"/>
      <c r="F184" s="48"/>
      <c r="G184" s="5">
        <f t="shared" si="16"/>
        <v>0</v>
      </c>
      <c r="H184" s="2" t="str">
        <f t="shared" si="17"/>
        <v>합격</v>
      </c>
      <c r="I184" s="30" t="str">
        <f t="shared" si="18"/>
        <v>-</v>
      </c>
      <c r="J184" s="30" t="str">
        <f t="shared" si="15"/>
        <v>-</v>
      </c>
      <c r="K184" s="28"/>
      <c r="L184" s="28"/>
    </row>
    <row r="185" spans="4:12" x14ac:dyDescent="0.45">
      <c r="D185" s="49"/>
      <c r="F185" s="48"/>
      <c r="G185" s="5">
        <f t="shared" si="16"/>
        <v>0</v>
      </c>
      <c r="H185" s="2" t="str">
        <f t="shared" si="17"/>
        <v>합격</v>
      </c>
      <c r="I185" s="30" t="str">
        <f t="shared" si="18"/>
        <v>-</v>
      </c>
      <c r="J185" s="30" t="str">
        <f t="shared" si="15"/>
        <v>-</v>
      </c>
      <c r="K185" s="28"/>
      <c r="L185" s="28"/>
    </row>
    <row r="186" spans="4:12" x14ac:dyDescent="0.45">
      <c r="D186" s="49"/>
      <c r="F186" s="48"/>
      <c r="G186" s="5">
        <f t="shared" si="16"/>
        <v>0</v>
      </c>
      <c r="H186" s="2" t="str">
        <f t="shared" si="17"/>
        <v>합격</v>
      </c>
      <c r="I186" s="30" t="str">
        <f t="shared" si="18"/>
        <v>-</v>
      </c>
      <c r="J186" s="30" t="str">
        <f t="shared" si="15"/>
        <v>-</v>
      </c>
      <c r="K186" s="28"/>
      <c r="L186" s="28"/>
    </row>
    <row r="187" spans="4:12" x14ac:dyDescent="0.45">
      <c r="D187" s="49"/>
      <c r="F187" s="48"/>
      <c r="G187" s="5">
        <f t="shared" si="16"/>
        <v>0</v>
      </c>
      <c r="H187" s="2" t="str">
        <f t="shared" si="17"/>
        <v>합격</v>
      </c>
      <c r="I187" s="30" t="str">
        <f t="shared" si="18"/>
        <v>-</v>
      </c>
      <c r="J187" s="30" t="str">
        <f t="shared" si="15"/>
        <v>-</v>
      </c>
      <c r="K187" s="28"/>
      <c r="L187" s="28"/>
    </row>
    <row r="188" spans="4:12" x14ac:dyDescent="0.45">
      <c r="D188" s="49"/>
      <c r="F188" s="48"/>
      <c r="G188" s="5">
        <f t="shared" si="16"/>
        <v>0</v>
      </c>
      <c r="H188" s="2" t="str">
        <f t="shared" si="17"/>
        <v>합격</v>
      </c>
      <c r="I188" s="30" t="str">
        <f t="shared" si="18"/>
        <v>-</v>
      </c>
      <c r="J188" s="30" t="str">
        <f t="shared" ref="J188:J213" si="19">IFERROR(G188/F188,"-")</f>
        <v>-</v>
      </c>
      <c r="K188" s="28"/>
      <c r="L188" s="28"/>
    </row>
    <row r="189" spans="4:12" x14ac:dyDescent="0.45">
      <c r="D189" s="49"/>
      <c r="F189" s="48"/>
      <c r="G189" s="5">
        <f t="shared" si="16"/>
        <v>0</v>
      </c>
      <c r="H189" s="2" t="str">
        <f t="shared" si="17"/>
        <v>합격</v>
      </c>
      <c r="I189" s="30" t="str">
        <f t="shared" si="18"/>
        <v>-</v>
      </c>
      <c r="J189" s="30" t="str">
        <f t="shared" si="19"/>
        <v>-</v>
      </c>
      <c r="K189" s="28"/>
      <c r="L189" s="28"/>
    </row>
    <row r="190" spans="4:12" x14ac:dyDescent="0.45">
      <c r="D190" s="49"/>
      <c r="F190" s="48"/>
      <c r="G190" s="5">
        <f t="shared" si="16"/>
        <v>0</v>
      </c>
      <c r="H190" s="2" t="str">
        <f t="shared" si="17"/>
        <v>합격</v>
      </c>
      <c r="I190" s="30" t="str">
        <f t="shared" si="18"/>
        <v>-</v>
      </c>
      <c r="J190" s="30" t="str">
        <f t="shared" si="19"/>
        <v>-</v>
      </c>
      <c r="K190" s="28"/>
      <c r="L190" s="28"/>
    </row>
    <row r="191" spans="4:12" x14ac:dyDescent="0.45">
      <c r="D191" s="49"/>
      <c r="F191" s="48"/>
      <c r="G191" s="5">
        <f t="shared" si="16"/>
        <v>0</v>
      </c>
      <c r="H191" s="2" t="str">
        <f t="shared" si="17"/>
        <v>합격</v>
      </c>
      <c r="I191" s="30" t="str">
        <f t="shared" si="18"/>
        <v>-</v>
      </c>
      <c r="J191" s="30" t="str">
        <f t="shared" si="19"/>
        <v>-</v>
      </c>
      <c r="K191" s="28"/>
      <c r="L191" s="28"/>
    </row>
    <row r="192" spans="4:12" x14ac:dyDescent="0.45">
      <c r="D192" s="49"/>
      <c r="F192" s="48"/>
      <c r="G192" s="5">
        <f t="shared" si="16"/>
        <v>0</v>
      </c>
      <c r="H192" s="2" t="str">
        <f t="shared" si="17"/>
        <v>합격</v>
      </c>
      <c r="I192" s="30" t="str">
        <f t="shared" si="18"/>
        <v>-</v>
      </c>
      <c r="J192" s="30" t="str">
        <f t="shared" si="19"/>
        <v>-</v>
      </c>
      <c r="K192" s="28"/>
      <c r="L192" s="28"/>
    </row>
    <row r="193" spans="4:12" x14ac:dyDescent="0.45">
      <c r="D193" s="49"/>
      <c r="F193" s="48"/>
      <c r="G193" s="5">
        <f t="shared" si="16"/>
        <v>0</v>
      </c>
      <c r="H193" s="2" t="str">
        <f t="shared" si="17"/>
        <v>합격</v>
      </c>
      <c r="I193" s="30" t="str">
        <f t="shared" si="18"/>
        <v>-</v>
      </c>
      <c r="J193" s="30" t="str">
        <f t="shared" si="19"/>
        <v>-</v>
      </c>
      <c r="K193" s="28"/>
      <c r="L193" s="28"/>
    </row>
    <row r="194" spans="4:12" x14ac:dyDescent="0.45">
      <c r="D194" s="49"/>
      <c r="F194" s="48"/>
      <c r="G194" s="5">
        <f t="shared" si="16"/>
        <v>0</v>
      </c>
      <c r="H194" s="2" t="str">
        <f t="shared" si="17"/>
        <v>합격</v>
      </c>
      <c r="I194" s="30" t="str">
        <f t="shared" si="18"/>
        <v>-</v>
      </c>
      <c r="J194" s="30" t="str">
        <f t="shared" si="19"/>
        <v>-</v>
      </c>
      <c r="K194" s="28"/>
      <c r="L194" s="28"/>
    </row>
    <row r="195" spans="4:12" x14ac:dyDescent="0.45">
      <c r="D195" s="49"/>
      <c r="F195" s="48"/>
      <c r="G195" s="5">
        <f t="shared" si="16"/>
        <v>0</v>
      </c>
      <c r="H195" s="2" t="str">
        <f t="shared" si="17"/>
        <v>합격</v>
      </c>
      <c r="I195" s="30" t="str">
        <f t="shared" si="18"/>
        <v>-</v>
      </c>
      <c r="J195" s="30" t="str">
        <f t="shared" si="19"/>
        <v>-</v>
      </c>
      <c r="K195" s="28"/>
      <c r="L195" s="28"/>
    </row>
    <row r="196" spans="4:12" x14ac:dyDescent="0.45">
      <c r="D196" s="49"/>
      <c r="F196" s="48"/>
      <c r="G196" s="5">
        <f t="shared" si="16"/>
        <v>0</v>
      </c>
      <c r="H196" s="2" t="str">
        <f t="shared" si="17"/>
        <v>합격</v>
      </c>
      <c r="I196" s="30" t="str">
        <f t="shared" si="18"/>
        <v>-</v>
      </c>
      <c r="J196" s="30" t="str">
        <f t="shared" si="19"/>
        <v>-</v>
      </c>
      <c r="K196" s="28"/>
      <c r="L196" s="28"/>
    </row>
    <row r="197" spans="4:12" x14ac:dyDescent="0.45">
      <c r="D197" s="49"/>
      <c r="F197" s="48"/>
      <c r="G197" s="5">
        <f t="shared" si="16"/>
        <v>0</v>
      </c>
      <c r="H197" s="2" t="str">
        <f t="shared" si="17"/>
        <v>합격</v>
      </c>
      <c r="I197" s="30" t="str">
        <f t="shared" si="18"/>
        <v>-</v>
      </c>
      <c r="J197" s="30" t="str">
        <f t="shared" si="19"/>
        <v>-</v>
      </c>
      <c r="K197" s="28"/>
      <c r="L197" s="28"/>
    </row>
    <row r="198" spans="4:12" x14ac:dyDescent="0.45">
      <c r="D198" s="49"/>
      <c r="F198" s="48"/>
      <c r="G198" s="5">
        <f t="shared" si="16"/>
        <v>0</v>
      </c>
      <c r="H198" s="2" t="str">
        <f t="shared" si="17"/>
        <v>합격</v>
      </c>
      <c r="I198" s="30" t="str">
        <f t="shared" si="18"/>
        <v>-</v>
      </c>
      <c r="J198" s="30" t="str">
        <f t="shared" si="19"/>
        <v>-</v>
      </c>
      <c r="K198" s="28"/>
      <c r="L198" s="28"/>
    </row>
    <row r="199" spans="4:12" x14ac:dyDescent="0.45">
      <c r="D199" s="49"/>
      <c r="F199" s="48"/>
      <c r="G199" s="5">
        <f t="shared" si="16"/>
        <v>0</v>
      </c>
      <c r="H199" s="2" t="str">
        <f t="shared" si="17"/>
        <v>합격</v>
      </c>
      <c r="I199" s="30" t="str">
        <f t="shared" si="18"/>
        <v>-</v>
      </c>
      <c r="J199" s="30" t="str">
        <f t="shared" si="19"/>
        <v>-</v>
      </c>
      <c r="K199" s="28"/>
      <c r="L199" s="28"/>
    </row>
    <row r="200" spans="4:12" x14ac:dyDescent="0.45">
      <c r="D200" s="49"/>
      <c r="F200" s="48"/>
      <c r="G200" s="5">
        <f t="shared" si="16"/>
        <v>0</v>
      </c>
      <c r="H200" s="2" t="str">
        <f t="shared" si="17"/>
        <v>합격</v>
      </c>
      <c r="I200" s="30" t="str">
        <f t="shared" si="18"/>
        <v>-</v>
      </c>
      <c r="J200" s="30" t="str">
        <f t="shared" si="19"/>
        <v>-</v>
      </c>
      <c r="K200" s="28"/>
      <c r="L200" s="28"/>
    </row>
    <row r="201" spans="4:12" x14ac:dyDescent="0.45">
      <c r="D201" s="49"/>
      <c r="F201" s="48"/>
      <c r="G201" s="5">
        <f t="shared" ref="G201:G213" si="20">IFERROR(POWER((B201/C201)*F201^3,1/3),0)</f>
        <v>0</v>
      </c>
      <c r="H201" s="2" t="str">
        <f t="shared" ref="H201:H213" si="21">IF(OR(D201&lt;G201*0.9,D201&gt;G201*1.1),"불합격","합격")</f>
        <v>합격</v>
      </c>
      <c r="I201" s="30" t="str">
        <f t="shared" si="18"/>
        <v>-</v>
      </c>
      <c r="J201" s="30" t="str">
        <f t="shared" si="19"/>
        <v>-</v>
      </c>
      <c r="K201" s="28"/>
      <c r="L201" s="28"/>
    </row>
    <row r="202" spans="4:12" x14ac:dyDescent="0.45">
      <c r="D202" s="49"/>
      <c r="F202" s="48"/>
      <c r="G202" s="5">
        <f t="shared" si="20"/>
        <v>0</v>
      </c>
      <c r="H202" s="2" t="str">
        <f t="shared" si="21"/>
        <v>합격</v>
      </c>
      <c r="I202" s="30" t="str">
        <f t="shared" si="18"/>
        <v>-</v>
      </c>
      <c r="J202" s="30" t="str">
        <f t="shared" si="19"/>
        <v>-</v>
      </c>
      <c r="K202" s="28"/>
      <c r="L202" s="28"/>
    </row>
    <row r="203" spans="4:12" x14ac:dyDescent="0.45">
      <c r="D203" s="49"/>
      <c r="F203" s="48"/>
      <c r="G203" s="5">
        <f t="shared" si="20"/>
        <v>0</v>
      </c>
      <c r="H203" s="2" t="str">
        <f t="shared" si="21"/>
        <v>합격</v>
      </c>
      <c r="I203" s="30" t="str">
        <f t="shared" ref="I203:I213" si="22">IFERROR(D203/G203,"-")</f>
        <v>-</v>
      </c>
      <c r="J203" s="30" t="str">
        <f t="shared" si="19"/>
        <v>-</v>
      </c>
      <c r="K203" s="28"/>
      <c r="L203" s="28"/>
    </row>
    <row r="204" spans="4:12" x14ac:dyDescent="0.45">
      <c r="D204" s="49"/>
      <c r="F204" s="48"/>
      <c r="G204" s="5">
        <f t="shared" si="20"/>
        <v>0</v>
      </c>
      <c r="H204" s="2" t="str">
        <f t="shared" si="21"/>
        <v>합격</v>
      </c>
      <c r="I204" s="30" t="str">
        <f t="shared" si="22"/>
        <v>-</v>
      </c>
      <c r="J204" s="30" t="str">
        <f t="shared" si="19"/>
        <v>-</v>
      </c>
      <c r="K204" s="28"/>
      <c r="L204" s="28"/>
    </row>
    <row r="205" spans="4:12" x14ac:dyDescent="0.45">
      <c r="D205" s="49"/>
      <c r="F205" s="48"/>
      <c r="G205" s="5">
        <f t="shared" si="20"/>
        <v>0</v>
      </c>
      <c r="H205" s="2" t="str">
        <f t="shared" si="21"/>
        <v>합격</v>
      </c>
      <c r="I205" s="30" t="str">
        <f t="shared" si="22"/>
        <v>-</v>
      </c>
      <c r="J205" s="30" t="str">
        <f t="shared" si="19"/>
        <v>-</v>
      </c>
      <c r="K205" s="28"/>
      <c r="L205" s="28"/>
    </row>
    <row r="206" spans="4:12" x14ac:dyDescent="0.45">
      <c r="D206" s="49"/>
      <c r="F206" s="48"/>
      <c r="G206" s="5">
        <f t="shared" si="20"/>
        <v>0</v>
      </c>
      <c r="H206" s="2" t="str">
        <f t="shared" si="21"/>
        <v>합격</v>
      </c>
      <c r="I206" s="30" t="str">
        <f t="shared" si="22"/>
        <v>-</v>
      </c>
      <c r="J206" s="30" t="str">
        <f t="shared" si="19"/>
        <v>-</v>
      </c>
      <c r="K206" s="28"/>
      <c r="L206" s="28"/>
    </row>
    <row r="207" spans="4:12" x14ac:dyDescent="0.45">
      <c r="D207" s="49"/>
      <c r="F207" s="48"/>
      <c r="G207" s="5">
        <f t="shared" si="20"/>
        <v>0</v>
      </c>
      <c r="H207" s="2" t="str">
        <f t="shared" si="21"/>
        <v>합격</v>
      </c>
      <c r="I207" s="30" t="str">
        <f t="shared" si="22"/>
        <v>-</v>
      </c>
      <c r="J207" s="30" t="str">
        <f t="shared" si="19"/>
        <v>-</v>
      </c>
      <c r="K207" s="28"/>
      <c r="L207" s="28"/>
    </row>
    <row r="208" spans="4:12" x14ac:dyDescent="0.45">
      <c r="D208" s="49"/>
      <c r="F208" s="48"/>
      <c r="G208" s="5">
        <f t="shared" si="20"/>
        <v>0</v>
      </c>
      <c r="H208" s="2" t="str">
        <f t="shared" si="21"/>
        <v>합격</v>
      </c>
      <c r="I208" s="30" t="str">
        <f t="shared" si="22"/>
        <v>-</v>
      </c>
      <c r="J208" s="30" t="str">
        <f t="shared" si="19"/>
        <v>-</v>
      </c>
      <c r="K208" s="28"/>
      <c r="L208" s="28"/>
    </row>
    <row r="209" spans="4:12" x14ac:dyDescent="0.45">
      <c r="D209" s="49"/>
      <c r="F209" s="48"/>
      <c r="G209" s="5">
        <f t="shared" si="20"/>
        <v>0</v>
      </c>
      <c r="H209" s="2" t="str">
        <f t="shared" si="21"/>
        <v>합격</v>
      </c>
      <c r="I209" s="30" t="str">
        <f t="shared" si="22"/>
        <v>-</v>
      </c>
      <c r="J209" s="30" t="str">
        <f t="shared" si="19"/>
        <v>-</v>
      </c>
      <c r="K209" s="28"/>
      <c r="L209" s="28"/>
    </row>
    <row r="210" spans="4:12" x14ac:dyDescent="0.45">
      <c r="D210" s="49"/>
      <c r="F210" s="48"/>
      <c r="G210" s="5">
        <f t="shared" si="20"/>
        <v>0</v>
      </c>
      <c r="H210" s="2" t="str">
        <f t="shared" si="21"/>
        <v>합격</v>
      </c>
      <c r="I210" s="30" t="str">
        <f t="shared" si="22"/>
        <v>-</v>
      </c>
      <c r="J210" s="30" t="str">
        <f t="shared" si="19"/>
        <v>-</v>
      </c>
      <c r="K210" s="28"/>
      <c r="L210" s="28"/>
    </row>
    <row r="211" spans="4:12" x14ac:dyDescent="0.45">
      <c r="D211" s="49"/>
      <c r="F211" s="48"/>
      <c r="G211" s="5">
        <f t="shared" si="20"/>
        <v>0</v>
      </c>
      <c r="H211" s="2" t="str">
        <f t="shared" si="21"/>
        <v>합격</v>
      </c>
      <c r="I211" s="30" t="str">
        <f t="shared" si="22"/>
        <v>-</v>
      </c>
      <c r="J211" s="30" t="str">
        <f t="shared" si="19"/>
        <v>-</v>
      </c>
      <c r="K211" s="28"/>
      <c r="L211" s="28"/>
    </row>
    <row r="212" spans="4:12" x14ac:dyDescent="0.45">
      <c r="D212" s="49"/>
      <c r="F212" s="48"/>
      <c r="G212" s="5">
        <f t="shared" si="20"/>
        <v>0</v>
      </c>
      <c r="H212" s="2" t="str">
        <f t="shared" si="21"/>
        <v>합격</v>
      </c>
      <c r="I212" s="30" t="str">
        <f t="shared" si="22"/>
        <v>-</v>
      </c>
      <c r="J212" s="30" t="str">
        <f t="shared" si="19"/>
        <v>-</v>
      </c>
      <c r="K212" s="28"/>
      <c r="L212" s="28"/>
    </row>
    <row r="213" spans="4:12" x14ac:dyDescent="0.45">
      <c r="D213" s="49"/>
      <c r="F213" s="48"/>
      <c r="G213" s="5">
        <f t="shared" si="20"/>
        <v>0</v>
      </c>
      <c r="H213" s="2" t="str">
        <f t="shared" si="21"/>
        <v>합격</v>
      </c>
      <c r="I213" s="30" t="str">
        <f t="shared" si="22"/>
        <v>-</v>
      </c>
      <c r="J213" s="30" t="str">
        <f t="shared" si="19"/>
        <v>-</v>
      </c>
      <c r="K213" s="28"/>
      <c r="L213" s="28"/>
    </row>
    <row r="214" spans="4:12" x14ac:dyDescent="0.45">
      <c r="G214" s="5"/>
    </row>
    <row r="215" spans="4:12" x14ac:dyDescent="0.45">
      <c r="G215" s="5"/>
    </row>
  </sheetData>
  <sheetProtection algorithmName="SHA-512" hashValue="CLm5Fu/n2/MCSnbNuKiW53DJZczkPu0No+KkLCaspY0BYPJgZMtV7UL/Rh5sQkd3+BrBZI2aBRhMCbaGDtnpLQ==" saltValue="eYyP2LxwdlNrgFPYdYkDbQ==" spinCount="100000" sheet="1" objects="1" scenarios="1"/>
  <mergeCells count="18">
    <mergeCell ref="L3:L4"/>
    <mergeCell ref="A13:K13"/>
    <mergeCell ref="A3:A4"/>
    <mergeCell ref="B3:B4"/>
    <mergeCell ref="C3:C4"/>
    <mergeCell ref="D3:D4"/>
    <mergeCell ref="E3:E4"/>
    <mergeCell ref="F3:F4"/>
    <mergeCell ref="J3:J4"/>
    <mergeCell ref="G3:G4"/>
    <mergeCell ref="H3:H4"/>
    <mergeCell ref="I3:I4"/>
    <mergeCell ref="K3:K4"/>
    <mergeCell ref="A18:K18"/>
    <mergeCell ref="A27:K27"/>
    <mergeCell ref="A38:K38"/>
    <mergeCell ref="A44:K44"/>
    <mergeCell ref="A51:K51"/>
  </mergeCells>
  <phoneticPr fontId="1" type="noConversion"/>
  <conditionalFormatting sqref="H7:H12 H14:H17 H19:H26 H28:H37 H39:H43 H45:H50 H52:H1048576">
    <cfRule type="containsText" dxfId="9" priority="1" operator="containsText" text="불합격">
      <formula>NOT(ISERROR(SEARCH("불합격",H7)))</formula>
    </cfRule>
    <cfRule type="containsText" dxfId="8" priority="2" operator="containsText" text="합격">
      <formula>NOT(ISERROR(SEARCH("합격",H7)))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60AE-83EC-4459-8A64-AE16DEF56CD9}">
  <dimension ref="A1:N1102"/>
  <sheetViews>
    <sheetView topLeftCell="B1" workbookViewId="0">
      <pane ySplit="5" topLeftCell="A6" activePane="bottomLeft" state="frozen"/>
      <selection pane="bottomLeft" activeCell="G5" sqref="G5"/>
    </sheetView>
  </sheetViews>
  <sheetFormatPr defaultRowHeight="17" x14ac:dyDescent="0.45"/>
  <cols>
    <col min="1" max="1" width="16.75" style="1" hidden="1" customWidth="1"/>
    <col min="2" max="3" width="20.75" style="28" customWidth="1"/>
    <col min="4" max="5" width="20.75" style="28" hidden="1" customWidth="1"/>
    <col min="6" max="6" width="21.75" style="28" customWidth="1"/>
    <col min="7" max="7" width="21.75" style="2" customWidth="1"/>
    <col min="8" max="8" width="12.75" style="44" hidden="1" customWidth="1"/>
    <col min="9" max="9" width="12.75" style="2" hidden="1" customWidth="1"/>
    <col min="10" max="10" width="21.75" style="2" hidden="1" customWidth="1"/>
    <col min="11" max="11" width="24.58203125" style="1" hidden="1" customWidth="1"/>
    <col min="12" max="12" width="24.58203125" style="1" customWidth="1"/>
    <col min="13" max="13" width="30.75" style="50" bestFit="1" customWidth="1"/>
    <col min="14" max="14" width="57.25" style="50" customWidth="1"/>
  </cols>
  <sheetData>
    <row r="1" spans="1:14" x14ac:dyDescent="0.45">
      <c r="A1" s="3"/>
      <c r="B1" s="17"/>
      <c r="C1" s="1"/>
      <c r="D1" s="1"/>
      <c r="E1" s="1"/>
      <c r="F1" s="1"/>
      <c r="G1" s="1"/>
      <c r="H1" s="1"/>
      <c r="I1" s="1"/>
      <c r="J1" s="1"/>
      <c r="M1" s="1"/>
      <c r="N1" s="1"/>
    </row>
    <row r="2" spans="1:14" x14ac:dyDescent="0.45">
      <c r="B2" s="1"/>
      <c r="C2" s="1"/>
      <c r="D2" s="1"/>
      <c r="E2" s="10" t="s">
        <v>21</v>
      </c>
      <c r="F2" s="1"/>
      <c r="G2" s="1"/>
      <c r="H2" s="1"/>
      <c r="I2" s="1"/>
      <c r="J2" s="10" t="s">
        <v>28</v>
      </c>
      <c r="M2" s="1"/>
      <c r="N2" s="1"/>
    </row>
    <row r="3" spans="1:14" x14ac:dyDescent="0.45">
      <c r="A3" s="95"/>
      <c r="B3" s="65" t="s">
        <v>16</v>
      </c>
      <c r="C3" s="65" t="s">
        <v>17</v>
      </c>
      <c r="D3" s="88" t="s">
        <v>13</v>
      </c>
      <c r="E3" s="88" t="s">
        <v>14</v>
      </c>
      <c r="F3" s="88" t="s">
        <v>18</v>
      </c>
      <c r="G3" s="88" t="s">
        <v>20</v>
      </c>
      <c r="H3" s="88" t="s">
        <v>123</v>
      </c>
      <c r="I3" s="88" t="s">
        <v>122</v>
      </c>
      <c r="J3" s="88" t="s">
        <v>0</v>
      </c>
      <c r="K3" s="54" t="s">
        <v>110</v>
      </c>
      <c r="L3" s="88" t="s">
        <v>110</v>
      </c>
      <c r="M3" s="54" t="s">
        <v>121</v>
      </c>
      <c r="N3" s="54" t="s">
        <v>59</v>
      </c>
    </row>
    <row r="4" spans="1:14" x14ac:dyDescent="0.45">
      <c r="A4" s="95"/>
      <c r="B4" s="67"/>
      <c r="C4" s="67"/>
      <c r="D4" s="67"/>
      <c r="E4" s="67"/>
      <c r="F4" s="67"/>
      <c r="G4" s="67"/>
      <c r="H4" s="67"/>
      <c r="I4" s="67"/>
      <c r="J4" s="67"/>
      <c r="K4" s="54"/>
      <c r="L4" s="67"/>
      <c r="M4" s="54"/>
      <c r="N4" s="54"/>
    </row>
    <row r="5" spans="1:14" x14ac:dyDescent="0.45">
      <c r="B5" s="8">
        <v>5</v>
      </c>
      <c r="C5" s="8">
        <v>7.5</v>
      </c>
      <c r="D5" s="52" t="s">
        <v>15</v>
      </c>
      <c r="E5" s="52" t="s">
        <v>15</v>
      </c>
      <c r="F5" s="53">
        <v>500</v>
      </c>
      <c r="G5" s="5">
        <f t="shared" ref="G5" si="0">IFERROR(POWER((B5/C5)*F5^3,1/3),0)</f>
        <v>436.79023236814953</v>
      </c>
      <c r="H5" s="11"/>
      <c r="I5" s="11"/>
      <c r="J5" s="11"/>
      <c r="K5" s="2"/>
      <c r="L5" s="30">
        <f>G5/F5</f>
        <v>0.87358046473629902</v>
      </c>
      <c r="M5" s="2" t="s">
        <v>233</v>
      </c>
      <c r="N5" s="2" t="s">
        <v>234</v>
      </c>
    </row>
    <row r="6" spans="1:14" hidden="1" x14ac:dyDescent="0.45">
      <c r="B6" s="8"/>
      <c r="C6" s="8"/>
      <c r="D6" s="8"/>
      <c r="E6" s="8"/>
      <c r="F6" s="8"/>
      <c r="G6" s="11"/>
      <c r="H6" s="11"/>
      <c r="I6" s="11"/>
      <c r="J6" s="11"/>
      <c r="K6" s="2"/>
      <c r="L6" s="2"/>
      <c r="M6" s="2"/>
      <c r="N6" s="2"/>
    </row>
    <row r="7" spans="1:14" hidden="1" x14ac:dyDescent="0.45">
      <c r="A7" s="6" t="s">
        <v>2</v>
      </c>
      <c r="B7" s="4">
        <v>7</v>
      </c>
      <c r="C7" s="4">
        <v>10</v>
      </c>
      <c r="D7" s="4">
        <v>1000</v>
      </c>
      <c r="E7" s="4">
        <v>18000</v>
      </c>
      <c r="F7" s="16">
        <f>E7*60*0.001</f>
        <v>1080</v>
      </c>
      <c r="G7" s="5">
        <f>IFERROR(POWER((B7/C7)*F7^3,1/3),0)</f>
        <v>958.93632188200866</v>
      </c>
      <c r="H7" s="5"/>
      <c r="I7" s="5"/>
      <c r="J7" s="2" t="str">
        <f t="shared" ref="J7:J12" si="1">IF(OR(D7&lt;G7*0.9,D7&gt;G7*1.1),"불합격","합격")</f>
        <v>합격</v>
      </c>
      <c r="K7" s="30">
        <f t="shared" ref="K7:K12" si="2">IFERROR(D7/G7,"-")</f>
        <v>1.0428221115218577</v>
      </c>
      <c r="L7" s="30"/>
      <c r="M7" s="2" t="str">
        <f>A7</f>
        <v>예시1</v>
      </c>
      <c r="N7" s="2"/>
    </row>
    <row r="8" spans="1:14" hidden="1" x14ac:dyDescent="0.45">
      <c r="A8" s="7" t="s">
        <v>1</v>
      </c>
      <c r="B8" s="2">
        <v>3.95</v>
      </c>
      <c r="C8" s="2">
        <v>3.7</v>
      </c>
      <c r="D8" s="5">
        <v>51.77</v>
      </c>
      <c r="E8" s="2">
        <v>600</v>
      </c>
      <c r="F8" s="5">
        <f t="shared" ref="F8:F72" si="3">E8*60*0.001</f>
        <v>36</v>
      </c>
      <c r="G8" s="5">
        <f t="shared" ref="G8:G72" si="4">IFERROR(POWER((B8/C8)*F8^3,1/3),0)</f>
        <v>36.793205373718905</v>
      </c>
      <c r="H8" s="5"/>
      <c r="I8" s="5"/>
      <c r="J8" s="2" t="str">
        <f t="shared" si="1"/>
        <v>불합격</v>
      </c>
      <c r="K8" s="30">
        <f t="shared" si="2"/>
        <v>1.407053271770089</v>
      </c>
      <c r="L8" s="30"/>
      <c r="M8" s="2" t="str">
        <f>A8</f>
        <v>예시2</v>
      </c>
      <c r="N8" s="2"/>
    </row>
    <row r="9" spans="1:14" hidden="1" x14ac:dyDescent="0.45">
      <c r="A9" s="1" t="s">
        <v>22</v>
      </c>
      <c r="B9" s="2">
        <v>3.4390000000000001</v>
      </c>
      <c r="C9" s="2">
        <v>5.5</v>
      </c>
      <c r="D9" s="5">
        <v>36.515999999999998</v>
      </c>
      <c r="E9" s="2" t="s">
        <v>23</v>
      </c>
      <c r="F9" s="5">
        <v>30</v>
      </c>
      <c r="G9" s="5">
        <f t="shared" si="4"/>
        <v>25.653369514222842</v>
      </c>
      <c r="H9" s="5"/>
      <c r="I9" s="5"/>
      <c r="J9" s="2" t="str">
        <f t="shared" si="1"/>
        <v>불합격</v>
      </c>
      <c r="K9" s="30">
        <f t="shared" si="2"/>
        <v>1.4234387408544773</v>
      </c>
      <c r="L9" s="30"/>
      <c r="M9" s="2" t="str">
        <f>A9</f>
        <v>남도학숙</v>
      </c>
      <c r="N9" s="2"/>
    </row>
    <row r="10" spans="1:14" hidden="1" x14ac:dyDescent="0.45">
      <c r="A10" s="1" t="s">
        <v>24</v>
      </c>
      <c r="B10" s="2">
        <v>3.7</v>
      </c>
      <c r="C10" s="2">
        <v>5</v>
      </c>
      <c r="D10" s="5">
        <v>80</v>
      </c>
      <c r="E10" s="2" t="s">
        <v>23</v>
      </c>
      <c r="F10" s="5">
        <v>100</v>
      </c>
      <c r="G10" s="5">
        <f t="shared" si="4"/>
        <v>90.450416965102733</v>
      </c>
      <c r="H10" s="5"/>
      <c r="I10" s="5"/>
      <c r="J10" s="2" t="str">
        <f t="shared" si="1"/>
        <v>불합격</v>
      </c>
      <c r="K10" s="30">
        <f t="shared" si="2"/>
        <v>0.88446247882821061</v>
      </c>
      <c r="L10" s="30"/>
      <c r="M10" s="2" t="str">
        <f>A10</f>
        <v>그랑비스타</v>
      </c>
      <c r="N10" s="2"/>
    </row>
    <row r="11" spans="1:14" hidden="1" x14ac:dyDescent="0.45">
      <c r="A11" s="1" t="s">
        <v>29</v>
      </c>
      <c r="B11" s="2">
        <v>4.91</v>
      </c>
      <c r="C11" s="2">
        <v>15</v>
      </c>
      <c r="D11" s="5">
        <v>50.8</v>
      </c>
      <c r="E11" s="2" t="s">
        <v>23</v>
      </c>
      <c r="F11" s="5">
        <f>1.16*60</f>
        <v>69.599999999999994</v>
      </c>
      <c r="G11" s="5">
        <f t="shared" si="4"/>
        <v>47.966642156500946</v>
      </c>
      <c r="H11" s="5"/>
      <c r="I11" s="5"/>
      <c r="J11" s="2" t="str">
        <f t="shared" si="1"/>
        <v>합격</v>
      </c>
      <c r="K11" s="30">
        <f t="shared" si="2"/>
        <v>1.0590693389429813</v>
      </c>
      <c r="L11" s="30"/>
      <c r="M11" s="2" t="str">
        <f>A11</f>
        <v>동탄금강펜테리움센트럴파크4차</v>
      </c>
      <c r="N11" s="2"/>
    </row>
    <row r="12" spans="1:14" hidden="1" x14ac:dyDescent="0.45">
      <c r="B12" s="2">
        <v>5.79</v>
      </c>
      <c r="C12" s="2">
        <v>15</v>
      </c>
      <c r="D12" s="5">
        <v>29.1</v>
      </c>
      <c r="E12" s="2" t="s">
        <v>23</v>
      </c>
      <c r="F12" s="5">
        <f>1.16*60</f>
        <v>69.599999999999994</v>
      </c>
      <c r="G12" s="5">
        <f t="shared" si="4"/>
        <v>50.676312761149127</v>
      </c>
      <c r="H12" s="5"/>
      <c r="I12" s="5"/>
      <c r="J12" s="2" t="str">
        <f t="shared" si="1"/>
        <v>불합격</v>
      </c>
      <c r="K12" s="30">
        <f t="shared" si="2"/>
        <v>0.57423278084883567</v>
      </c>
      <c r="L12" s="30"/>
      <c r="M12" s="2"/>
      <c r="N12" s="2"/>
    </row>
    <row r="13" spans="1:14" hidden="1" x14ac:dyDescent="0.45">
      <c r="A13" s="97" t="s">
        <v>30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1"/>
    </row>
    <row r="14" spans="1:14" hidden="1" x14ac:dyDescent="0.45">
      <c r="A14" s="1" t="s">
        <v>32</v>
      </c>
      <c r="B14" s="2">
        <v>3.367</v>
      </c>
      <c r="C14" s="2">
        <v>3</v>
      </c>
      <c r="D14" s="5">
        <v>22.61</v>
      </c>
      <c r="E14" s="2">
        <v>479</v>
      </c>
      <c r="F14" s="5">
        <f t="shared" si="3"/>
        <v>28.740000000000002</v>
      </c>
      <c r="G14" s="5">
        <f t="shared" si="4"/>
        <v>29.867168426153881</v>
      </c>
      <c r="H14" s="5"/>
      <c r="I14" s="5"/>
      <c r="J14" s="2" t="str">
        <f>IF(OR(D14&lt;G14*0.9,D14&gt;G14*1.1),"불합격","합격")</f>
        <v>불합격</v>
      </c>
      <c r="K14" s="30">
        <f>IFERROR(D14/G14,"-")</f>
        <v>0.75701853210165804</v>
      </c>
      <c r="L14" s="30"/>
      <c r="M14" s="2" t="str">
        <f>A14</f>
        <v>HP-1-#2</v>
      </c>
      <c r="N14" s="2"/>
    </row>
    <row r="15" spans="1:14" hidden="1" x14ac:dyDescent="0.45">
      <c r="A15" s="1" t="s">
        <v>31</v>
      </c>
      <c r="B15" s="2">
        <v>3.7480000000000002</v>
      </c>
      <c r="C15" s="2">
        <v>3</v>
      </c>
      <c r="D15" s="5">
        <v>22.43</v>
      </c>
      <c r="E15" s="2">
        <v>479</v>
      </c>
      <c r="F15" s="5">
        <f t="shared" si="3"/>
        <v>28.740000000000002</v>
      </c>
      <c r="G15" s="5">
        <f t="shared" si="4"/>
        <v>30.953721654515576</v>
      </c>
      <c r="H15" s="5"/>
      <c r="I15" s="5"/>
      <c r="J15" s="2" t="str">
        <f>IF(OR(D15&lt;G15*0.9,D15&gt;G15*1.1),"불합격","합격")</f>
        <v>불합격</v>
      </c>
      <c r="K15" s="30">
        <f>IFERROR(D15/G15,"-")</f>
        <v>0.72463015111230988</v>
      </c>
      <c r="L15" s="30"/>
      <c r="M15" s="2" t="str">
        <f>A15</f>
        <v>HP-1-#1</v>
      </c>
      <c r="N15" s="2"/>
    </row>
    <row r="16" spans="1:14" hidden="1" x14ac:dyDescent="0.45">
      <c r="A16" s="1" t="s">
        <v>33</v>
      </c>
      <c r="B16" s="2">
        <v>3.7989999999999999</v>
      </c>
      <c r="C16" s="2">
        <v>4</v>
      </c>
      <c r="D16" s="5">
        <v>15.8</v>
      </c>
      <c r="E16" s="2">
        <v>733</v>
      </c>
      <c r="F16" s="5">
        <f t="shared" si="3"/>
        <v>43.980000000000004</v>
      </c>
      <c r="G16" s="5">
        <f t="shared" si="4"/>
        <v>43.230639411399203</v>
      </c>
      <c r="H16" s="5"/>
      <c r="I16" s="5"/>
      <c r="J16" s="2" t="str">
        <f>IF(OR(D16&lt;G16*0.9,D16&gt;G16*1.1),"불합격","합격")</f>
        <v>불합격</v>
      </c>
      <c r="K16" s="30">
        <f>IFERROR(D16/G16,"-")</f>
        <v>0.36548152456504734</v>
      </c>
      <c r="L16" s="30"/>
      <c r="M16" s="2" t="str">
        <f>A16</f>
        <v>HP-2-#2</v>
      </c>
      <c r="N16" s="2"/>
    </row>
    <row r="17" spans="1:14" hidden="1" x14ac:dyDescent="0.45">
      <c r="A17" s="1" t="s">
        <v>34</v>
      </c>
      <c r="B17" s="2">
        <v>3.4460000000000002</v>
      </c>
      <c r="C17" s="2">
        <v>4</v>
      </c>
      <c r="D17" s="5">
        <v>16</v>
      </c>
      <c r="E17" s="2">
        <v>733</v>
      </c>
      <c r="F17" s="5">
        <f t="shared" si="3"/>
        <v>43.980000000000004</v>
      </c>
      <c r="G17" s="5">
        <f t="shared" si="4"/>
        <v>41.847898367523271</v>
      </c>
      <c r="H17" s="5"/>
      <c r="I17" s="5"/>
      <c r="J17" s="2" t="str">
        <f>IF(OR(D17&lt;G17*0.9,D17&gt;G17*1.1),"불합격","합격")</f>
        <v>불합격</v>
      </c>
      <c r="K17" s="30">
        <f>IFERROR(D17/G17,"-")</f>
        <v>0.3823370019560422</v>
      </c>
      <c r="L17" s="30"/>
      <c r="M17" s="2" t="str">
        <f>A17</f>
        <v>HP-2-#1</v>
      </c>
      <c r="N17" s="2"/>
    </row>
    <row r="18" spans="1:14" hidden="1" x14ac:dyDescent="0.45">
      <c r="A18" s="96" t="s">
        <v>39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1"/>
    </row>
    <row r="19" spans="1:14" hidden="1" x14ac:dyDescent="0.45">
      <c r="A19" s="1" t="s">
        <v>48</v>
      </c>
      <c r="B19" s="2">
        <v>13.75</v>
      </c>
      <c r="C19" s="2">
        <v>11</v>
      </c>
      <c r="D19" s="5">
        <v>139.63999999999999</v>
      </c>
      <c r="E19" s="2" t="s">
        <v>23</v>
      </c>
      <c r="F19" s="5">
        <f>2.043*60</f>
        <v>122.58000000000001</v>
      </c>
      <c r="G19" s="5">
        <f t="shared" si="4"/>
        <v>132.04530215205415</v>
      </c>
      <c r="H19" s="5"/>
      <c r="I19" s="5"/>
      <c r="J19" s="2" t="str">
        <f>IF(OR(D19&lt;G19*0.9,D19&gt;G19*1.1),"불합격","합격")</f>
        <v>합격</v>
      </c>
      <c r="K19" s="30">
        <f>IFERROR(D19/G19,"-")</f>
        <v>1.0575158504253359</v>
      </c>
      <c r="L19" s="30"/>
      <c r="M19" s="2" t="str">
        <f>A19</f>
        <v>P-5-#3</v>
      </c>
      <c r="N19" s="2"/>
    </row>
    <row r="20" spans="1:14" hidden="1" x14ac:dyDescent="0.45">
      <c r="A20" s="96" t="s">
        <v>112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1"/>
    </row>
    <row r="21" spans="1:14" hidden="1" x14ac:dyDescent="0.45">
      <c r="A21" s="1" t="s">
        <v>120</v>
      </c>
      <c r="B21" s="2">
        <v>3.2120000000000002</v>
      </c>
      <c r="C21" s="2">
        <v>3.7</v>
      </c>
      <c r="D21" s="5">
        <v>24.062999999999999</v>
      </c>
      <c r="E21" s="2"/>
      <c r="F21" s="5">
        <v>40.020000000000003</v>
      </c>
      <c r="G21" s="5">
        <f t="shared" si="4"/>
        <v>38.176990376605254</v>
      </c>
      <c r="H21" s="44">
        <f>4.4-2.4</f>
        <v>2.0000000000000004</v>
      </c>
      <c r="I21" s="2">
        <f>16</f>
        <v>16</v>
      </c>
      <c r="J21" s="2" t="str">
        <f t="shared" ref="J21:J84" si="5">IF(OR(D21&lt;G21*0.9,D21&gt;G21*1.1),"불합격","합격")</f>
        <v>불합격</v>
      </c>
      <c r="K21" s="30">
        <f t="shared" ref="K21:K84" si="6">IFERROR(D21/G21,"-")</f>
        <v>0.63030112543249961</v>
      </c>
      <c r="L21" s="30"/>
      <c r="M21" s="2" t="str">
        <f>A21</f>
        <v>P-2-#1</v>
      </c>
      <c r="N21" s="2" t="s">
        <v>124</v>
      </c>
    </row>
    <row r="22" spans="1:14" hidden="1" x14ac:dyDescent="0.45">
      <c r="A22" s="96" t="s">
        <v>125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8"/>
      <c r="N22" s="2"/>
    </row>
    <row r="23" spans="1:14" hidden="1" x14ac:dyDescent="0.45">
      <c r="A23" s="1" t="s">
        <v>126</v>
      </c>
      <c r="B23" s="2">
        <v>7.5679999999999996</v>
      </c>
      <c r="C23" s="2">
        <v>7.5</v>
      </c>
      <c r="D23" s="5">
        <v>87.186999999999998</v>
      </c>
      <c r="E23" s="2"/>
      <c r="F23" s="5">
        <v>42</v>
      </c>
      <c r="G23" s="5">
        <f t="shared" si="4"/>
        <v>42.12655163330183</v>
      </c>
      <c r="J23" s="2" t="str">
        <f t="shared" si="5"/>
        <v>불합격</v>
      </c>
      <c r="K23" s="30">
        <f t="shared" si="6"/>
        <v>2.0696448348997318</v>
      </c>
      <c r="L23" s="30"/>
      <c r="M23" s="2" t="str">
        <f>A23</f>
        <v>P-3-#1</v>
      </c>
      <c r="N23" s="2"/>
    </row>
    <row r="24" spans="1:14" x14ac:dyDescent="0.45">
      <c r="B24" s="28">
        <v>5</v>
      </c>
      <c r="C24" s="28">
        <v>5.5</v>
      </c>
      <c r="D24" s="49"/>
      <c r="F24" s="49">
        <v>300</v>
      </c>
      <c r="G24" s="5">
        <f t="shared" si="4"/>
        <v>290.61879184543915</v>
      </c>
      <c r="J24" s="2" t="str">
        <f t="shared" si="5"/>
        <v>불합격</v>
      </c>
      <c r="K24" s="30">
        <f t="shared" si="6"/>
        <v>0</v>
      </c>
      <c r="L24" s="30">
        <f>G24/F24</f>
        <v>0.9687293061514638</v>
      </c>
      <c r="M24" s="28" t="s">
        <v>238</v>
      </c>
      <c r="N24" s="28" t="s">
        <v>234</v>
      </c>
    </row>
    <row r="25" spans="1:14" x14ac:dyDescent="0.45">
      <c r="D25" s="49"/>
      <c r="F25" s="49">
        <f t="shared" si="3"/>
        <v>0</v>
      </c>
      <c r="G25" s="5">
        <f t="shared" si="4"/>
        <v>0</v>
      </c>
      <c r="J25" s="2" t="str">
        <f t="shared" si="5"/>
        <v>합격</v>
      </c>
      <c r="K25" s="30" t="str">
        <f t="shared" si="6"/>
        <v>-</v>
      </c>
      <c r="L25" s="30" t="str">
        <f>IFERROR(G25/F25,"-")</f>
        <v>-</v>
      </c>
      <c r="M25" s="28"/>
      <c r="N25" s="28"/>
    </row>
    <row r="26" spans="1:14" x14ac:dyDescent="0.45">
      <c r="D26" s="49"/>
      <c r="F26" s="49">
        <f t="shared" si="3"/>
        <v>0</v>
      </c>
      <c r="G26" s="5">
        <f t="shared" si="4"/>
        <v>0</v>
      </c>
      <c r="J26" s="2" t="str">
        <f t="shared" si="5"/>
        <v>합격</v>
      </c>
      <c r="K26" s="30" t="str">
        <f t="shared" si="6"/>
        <v>-</v>
      </c>
      <c r="L26" s="30" t="str">
        <f t="shared" ref="L26:L89" si="7">IFERROR(G26/F26,"-")</f>
        <v>-</v>
      </c>
      <c r="M26" s="28"/>
      <c r="N26" s="28"/>
    </row>
    <row r="27" spans="1:14" x14ac:dyDescent="0.45">
      <c r="D27" s="49"/>
      <c r="F27" s="49">
        <f t="shared" si="3"/>
        <v>0</v>
      </c>
      <c r="G27" s="5">
        <f t="shared" si="4"/>
        <v>0</v>
      </c>
      <c r="J27" s="2" t="str">
        <f t="shared" si="5"/>
        <v>합격</v>
      </c>
      <c r="K27" s="30" t="str">
        <f t="shared" si="6"/>
        <v>-</v>
      </c>
      <c r="L27" s="30" t="str">
        <f t="shared" si="7"/>
        <v>-</v>
      </c>
      <c r="M27" s="28"/>
      <c r="N27" s="28"/>
    </row>
    <row r="28" spans="1:14" x14ac:dyDescent="0.45">
      <c r="D28" s="49"/>
      <c r="F28" s="49">
        <f t="shared" si="3"/>
        <v>0</v>
      </c>
      <c r="G28" s="5">
        <f t="shared" si="4"/>
        <v>0</v>
      </c>
      <c r="J28" s="2" t="str">
        <f t="shared" si="5"/>
        <v>합격</v>
      </c>
      <c r="K28" s="30" t="str">
        <f t="shared" si="6"/>
        <v>-</v>
      </c>
      <c r="L28" s="30" t="str">
        <f t="shared" si="7"/>
        <v>-</v>
      </c>
      <c r="M28" s="28"/>
      <c r="N28" s="28"/>
    </row>
    <row r="29" spans="1:14" x14ac:dyDescent="0.45">
      <c r="D29" s="49"/>
      <c r="F29" s="49">
        <f t="shared" si="3"/>
        <v>0</v>
      </c>
      <c r="G29" s="5">
        <f t="shared" si="4"/>
        <v>0</v>
      </c>
      <c r="J29" s="2" t="str">
        <f t="shared" si="5"/>
        <v>합격</v>
      </c>
      <c r="K29" s="30" t="str">
        <f t="shared" si="6"/>
        <v>-</v>
      </c>
      <c r="L29" s="30" t="str">
        <f t="shared" si="7"/>
        <v>-</v>
      </c>
      <c r="M29" s="28"/>
      <c r="N29" s="28"/>
    </row>
    <row r="30" spans="1:14" x14ac:dyDescent="0.45">
      <c r="D30" s="49"/>
      <c r="F30" s="49">
        <f t="shared" si="3"/>
        <v>0</v>
      </c>
      <c r="G30" s="5">
        <f t="shared" si="4"/>
        <v>0</v>
      </c>
      <c r="J30" s="2" t="str">
        <f t="shared" si="5"/>
        <v>합격</v>
      </c>
      <c r="K30" s="30" t="str">
        <f t="shared" si="6"/>
        <v>-</v>
      </c>
      <c r="L30" s="30" t="str">
        <f t="shared" si="7"/>
        <v>-</v>
      </c>
      <c r="M30" s="28"/>
      <c r="N30" s="28"/>
    </row>
    <row r="31" spans="1:14" x14ac:dyDescent="0.45">
      <c r="D31" s="49"/>
      <c r="F31" s="49">
        <f t="shared" si="3"/>
        <v>0</v>
      </c>
      <c r="G31" s="5">
        <f t="shared" si="4"/>
        <v>0</v>
      </c>
      <c r="J31" s="2" t="str">
        <f t="shared" si="5"/>
        <v>합격</v>
      </c>
      <c r="K31" s="30" t="str">
        <f t="shared" si="6"/>
        <v>-</v>
      </c>
      <c r="L31" s="30" t="str">
        <f t="shared" si="7"/>
        <v>-</v>
      </c>
      <c r="M31" s="28"/>
      <c r="N31" s="28"/>
    </row>
    <row r="32" spans="1:14" x14ac:dyDescent="0.45">
      <c r="D32" s="49"/>
      <c r="F32" s="49">
        <f t="shared" si="3"/>
        <v>0</v>
      </c>
      <c r="G32" s="5">
        <f t="shared" si="4"/>
        <v>0</v>
      </c>
      <c r="J32" s="2" t="str">
        <f t="shared" si="5"/>
        <v>합격</v>
      </c>
      <c r="K32" s="30" t="str">
        <f t="shared" si="6"/>
        <v>-</v>
      </c>
      <c r="L32" s="30" t="str">
        <f t="shared" si="7"/>
        <v>-</v>
      </c>
      <c r="M32" s="28"/>
      <c r="N32" s="28"/>
    </row>
    <row r="33" spans="4:14" x14ac:dyDescent="0.45">
      <c r="D33" s="49"/>
      <c r="F33" s="49">
        <f t="shared" si="3"/>
        <v>0</v>
      </c>
      <c r="G33" s="5">
        <f t="shared" si="4"/>
        <v>0</v>
      </c>
      <c r="J33" s="2" t="str">
        <f t="shared" si="5"/>
        <v>합격</v>
      </c>
      <c r="K33" s="30" t="str">
        <f t="shared" si="6"/>
        <v>-</v>
      </c>
      <c r="L33" s="30" t="str">
        <f t="shared" si="7"/>
        <v>-</v>
      </c>
      <c r="M33" s="28"/>
      <c r="N33" s="28"/>
    </row>
    <row r="34" spans="4:14" x14ac:dyDescent="0.45">
      <c r="D34" s="49"/>
      <c r="F34" s="49">
        <f t="shared" si="3"/>
        <v>0</v>
      </c>
      <c r="G34" s="5">
        <f t="shared" si="4"/>
        <v>0</v>
      </c>
      <c r="J34" s="2" t="str">
        <f t="shared" si="5"/>
        <v>합격</v>
      </c>
      <c r="K34" s="30" t="str">
        <f t="shared" si="6"/>
        <v>-</v>
      </c>
      <c r="L34" s="30" t="str">
        <f t="shared" si="7"/>
        <v>-</v>
      </c>
      <c r="M34" s="28"/>
      <c r="N34" s="28"/>
    </row>
    <row r="35" spans="4:14" x14ac:dyDescent="0.45">
      <c r="D35" s="49"/>
      <c r="F35" s="49">
        <f t="shared" si="3"/>
        <v>0</v>
      </c>
      <c r="G35" s="5">
        <f t="shared" si="4"/>
        <v>0</v>
      </c>
      <c r="J35" s="2" t="str">
        <f t="shared" si="5"/>
        <v>합격</v>
      </c>
      <c r="K35" s="30" t="str">
        <f t="shared" si="6"/>
        <v>-</v>
      </c>
      <c r="L35" s="30" t="str">
        <f t="shared" si="7"/>
        <v>-</v>
      </c>
      <c r="M35" s="28"/>
      <c r="N35" s="28"/>
    </row>
    <row r="36" spans="4:14" x14ac:dyDescent="0.45">
      <c r="D36" s="49"/>
      <c r="F36" s="49">
        <f t="shared" si="3"/>
        <v>0</v>
      </c>
      <c r="G36" s="5">
        <f t="shared" si="4"/>
        <v>0</v>
      </c>
      <c r="J36" s="2" t="str">
        <f t="shared" si="5"/>
        <v>합격</v>
      </c>
      <c r="K36" s="30" t="str">
        <f t="shared" si="6"/>
        <v>-</v>
      </c>
      <c r="L36" s="30" t="str">
        <f t="shared" si="7"/>
        <v>-</v>
      </c>
      <c r="M36" s="28"/>
      <c r="N36" s="28"/>
    </row>
    <row r="37" spans="4:14" x14ac:dyDescent="0.45">
      <c r="D37" s="49"/>
      <c r="F37" s="49">
        <f t="shared" si="3"/>
        <v>0</v>
      </c>
      <c r="G37" s="5">
        <f t="shared" si="4"/>
        <v>0</v>
      </c>
      <c r="J37" s="2" t="str">
        <f t="shared" si="5"/>
        <v>합격</v>
      </c>
      <c r="K37" s="30" t="str">
        <f t="shared" si="6"/>
        <v>-</v>
      </c>
      <c r="L37" s="30" t="str">
        <f t="shared" si="7"/>
        <v>-</v>
      </c>
      <c r="M37" s="28"/>
      <c r="N37" s="28"/>
    </row>
    <row r="38" spans="4:14" x14ac:dyDescent="0.45">
      <c r="D38" s="49"/>
      <c r="F38" s="48">
        <f t="shared" si="3"/>
        <v>0</v>
      </c>
      <c r="G38" s="5">
        <f t="shared" si="4"/>
        <v>0</v>
      </c>
      <c r="J38" s="2" t="str">
        <f t="shared" si="5"/>
        <v>합격</v>
      </c>
      <c r="K38" s="30" t="str">
        <f t="shared" si="6"/>
        <v>-</v>
      </c>
      <c r="L38" s="30" t="str">
        <f t="shared" si="7"/>
        <v>-</v>
      </c>
      <c r="M38" s="28"/>
      <c r="N38" s="28"/>
    </row>
    <row r="39" spans="4:14" x14ac:dyDescent="0.45">
      <c r="D39" s="49"/>
      <c r="F39" s="48">
        <f t="shared" si="3"/>
        <v>0</v>
      </c>
      <c r="G39" s="5">
        <f t="shared" si="4"/>
        <v>0</v>
      </c>
      <c r="J39" s="2" t="str">
        <f t="shared" si="5"/>
        <v>합격</v>
      </c>
      <c r="K39" s="30" t="str">
        <f t="shared" si="6"/>
        <v>-</v>
      </c>
      <c r="L39" s="30" t="str">
        <f t="shared" si="7"/>
        <v>-</v>
      </c>
      <c r="M39" s="28"/>
      <c r="N39" s="28"/>
    </row>
    <row r="40" spans="4:14" x14ac:dyDescent="0.45">
      <c r="D40" s="49"/>
      <c r="F40" s="48">
        <f t="shared" si="3"/>
        <v>0</v>
      </c>
      <c r="G40" s="5">
        <f t="shared" si="4"/>
        <v>0</v>
      </c>
      <c r="J40" s="2" t="str">
        <f t="shared" si="5"/>
        <v>합격</v>
      </c>
      <c r="K40" s="30" t="str">
        <f t="shared" si="6"/>
        <v>-</v>
      </c>
      <c r="L40" s="30" t="str">
        <f t="shared" si="7"/>
        <v>-</v>
      </c>
      <c r="M40" s="28"/>
      <c r="N40" s="28"/>
    </row>
    <row r="41" spans="4:14" x14ac:dyDescent="0.45">
      <c r="D41" s="49"/>
      <c r="F41" s="48">
        <f t="shared" si="3"/>
        <v>0</v>
      </c>
      <c r="G41" s="5">
        <f t="shared" si="4"/>
        <v>0</v>
      </c>
      <c r="J41" s="2" t="str">
        <f t="shared" si="5"/>
        <v>합격</v>
      </c>
      <c r="K41" s="30" t="str">
        <f t="shared" si="6"/>
        <v>-</v>
      </c>
      <c r="L41" s="30" t="str">
        <f t="shared" si="7"/>
        <v>-</v>
      </c>
      <c r="M41" s="28"/>
      <c r="N41" s="28"/>
    </row>
    <row r="42" spans="4:14" x14ac:dyDescent="0.45">
      <c r="D42" s="49"/>
      <c r="F42" s="48">
        <f t="shared" si="3"/>
        <v>0</v>
      </c>
      <c r="G42" s="5">
        <f t="shared" si="4"/>
        <v>0</v>
      </c>
      <c r="J42" s="2" t="str">
        <f t="shared" si="5"/>
        <v>합격</v>
      </c>
      <c r="K42" s="30" t="str">
        <f t="shared" si="6"/>
        <v>-</v>
      </c>
      <c r="L42" s="30" t="str">
        <f t="shared" si="7"/>
        <v>-</v>
      </c>
      <c r="M42" s="28"/>
      <c r="N42" s="28"/>
    </row>
    <row r="43" spans="4:14" x14ac:dyDescent="0.45">
      <c r="D43" s="49"/>
      <c r="F43" s="48">
        <f t="shared" si="3"/>
        <v>0</v>
      </c>
      <c r="G43" s="5">
        <f t="shared" si="4"/>
        <v>0</v>
      </c>
      <c r="J43" s="2" t="str">
        <f t="shared" si="5"/>
        <v>합격</v>
      </c>
      <c r="K43" s="30" t="str">
        <f t="shared" si="6"/>
        <v>-</v>
      </c>
      <c r="L43" s="30" t="str">
        <f t="shared" si="7"/>
        <v>-</v>
      </c>
      <c r="M43" s="28"/>
      <c r="N43" s="28"/>
    </row>
    <row r="44" spans="4:14" x14ac:dyDescent="0.45">
      <c r="D44" s="49"/>
      <c r="F44" s="48">
        <f t="shared" si="3"/>
        <v>0</v>
      </c>
      <c r="G44" s="5">
        <f t="shared" si="4"/>
        <v>0</v>
      </c>
      <c r="J44" s="2" t="str">
        <f t="shared" si="5"/>
        <v>합격</v>
      </c>
      <c r="K44" s="30" t="str">
        <f t="shared" si="6"/>
        <v>-</v>
      </c>
      <c r="L44" s="30" t="str">
        <f t="shared" si="7"/>
        <v>-</v>
      </c>
      <c r="M44" s="28"/>
      <c r="N44" s="28"/>
    </row>
    <row r="45" spans="4:14" x14ac:dyDescent="0.45">
      <c r="D45" s="49"/>
      <c r="F45" s="48">
        <f t="shared" si="3"/>
        <v>0</v>
      </c>
      <c r="G45" s="5">
        <f t="shared" si="4"/>
        <v>0</v>
      </c>
      <c r="J45" s="2" t="str">
        <f t="shared" si="5"/>
        <v>합격</v>
      </c>
      <c r="K45" s="30" t="str">
        <f t="shared" si="6"/>
        <v>-</v>
      </c>
      <c r="L45" s="30" t="str">
        <f t="shared" si="7"/>
        <v>-</v>
      </c>
      <c r="M45" s="28"/>
      <c r="N45" s="28"/>
    </row>
    <row r="46" spans="4:14" x14ac:dyDescent="0.45">
      <c r="D46" s="49"/>
      <c r="F46" s="48">
        <f t="shared" si="3"/>
        <v>0</v>
      </c>
      <c r="G46" s="5">
        <f t="shared" si="4"/>
        <v>0</v>
      </c>
      <c r="J46" s="2" t="str">
        <f t="shared" si="5"/>
        <v>합격</v>
      </c>
      <c r="K46" s="30" t="str">
        <f t="shared" si="6"/>
        <v>-</v>
      </c>
      <c r="L46" s="30" t="str">
        <f t="shared" si="7"/>
        <v>-</v>
      </c>
      <c r="M46" s="28"/>
      <c r="N46" s="28"/>
    </row>
    <row r="47" spans="4:14" x14ac:dyDescent="0.45">
      <c r="D47" s="49"/>
      <c r="F47" s="48">
        <f t="shared" si="3"/>
        <v>0</v>
      </c>
      <c r="G47" s="5">
        <f t="shared" si="4"/>
        <v>0</v>
      </c>
      <c r="J47" s="2" t="str">
        <f t="shared" si="5"/>
        <v>합격</v>
      </c>
      <c r="K47" s="30" t="str">
        <f t="shared" si="6"/>
        <v>-</v>
      </c>
      <c r="L47" s="30" t="str">
        <f t="shared" si="7"/>
        <v>-</v>
      </c>
      <c r="M47" s="28"/>
      <c r="N47" s="28"/>
    </row>
    <row r="48" spans="4:14" x14ac:dyDescent="0.45">
      <c r="D48" s="49"/>
      <c r="F48" s="48">
        <f t="shared" si="3"/>
        <v>0</v>
      </c>
      <c r="G48" s="5">
        <f t="shared" si="4"/>
        <v>0</v>
      </c>
      <c r="J48" s="2" t="str">
        <f t="shared" si="5"/>
        <v>합격</v>
      </c>
      <c r="K48" s="30" t="str">
        <f t="shared" si="6"/>
        <v>-</v>
      </c>
      <c r="L48" s="30" t="str">
        <f t="shared" si="7"/>
        <v>-</v>
      </c>
      <c r="M48" s="28"/>
      <c r="N48" s="28"/>
    </row>
    <row r="49" spans="4:14" x14ac:dyDescent="0.45">
      <c r="D49" s="49"/>
      <c r="F49" s="48">
        <f t="shared" si="3"/>
        <v>0</v>
      </c>
      <c r="G49" s="5">
        <f t="shared" si="4"/>
        <v>0</v>
      </c>
      <c r="J49" s="2" t="str">
        <f t="shared" si="5"/>
        <v>합격</v>
      </c>
      <c r="K49" s="30" t="str">
        <f t="shared" si="6"/>
        <v>-</v>
      </c>
      <c r="L49" s="30" t="str">
        <f t="shared" si="7"/>
        <v>-</v>
      </c>
      <c r="M49" s="28"/>
      <c r="N49" s="28"/>
    </row>
    <row r="50" spans="4:14" x14ac:dyDescent="0.45">
      <c r="D50" s="49"/>
      <c r="F50" s="48">
        <f t="shared" si="3"/>
        <v>0</v>
      </c>
      <c r="G50" s="5">
        <f t="shared" si="4"/>
        <v>0</v>
      </c>
      <c r="J50" s="2" t="str">
        <f t="shared" si="5"/>
        <v>합격</v>
      </c>
      <c r="K50" s="30" t="str">
        <f t="shared" si="6"/>
        <v>-</v>
      </c>
      <c r="L50" s="30" t="str">
        <f t="shared" si="7"/>
        <v>-</v>
      </c>
      <c r="M50" s="28"/>
      <c r="N50" s="28"/>
    </row>
    <row r="51" spans="4:14" x14ac:dyDescent="0.45">
      <c r="D51" s="49"/>
      <c r="F51" s="48">
        <f t="shared" si="3"/>
        <v>0</v>
      </c>
      <c r="G51" s="5">
        <f t="shared" si="4"/>
        <v>0</v>
      </c>
      <c r="J51" s="2" t="str">
        <f t="shared" si="5"/>
        <v>합격</v>
      </c>
      <c r="K51" s="30" t="str">
        <f t="shared" si="6"/>
        <v>-</v>
      </c>
      <c r="L51" s="30" t="str">
        <f t="shared" si="7"/>
        <v>-</v>
      </c>
      <c r="M51" s="28"/>
      <c r="N51" s="28"/>
    </row>
    <row r="52" spans="4:14" x14ac:dyDescent="0.45">
      <c r="D52" s="49"/>
      <c r="F52" s="48">
        <f t="shared" si="3"/>
        <v>0</v>
      </c>
      <c r="G52" s="5">
        <f t="shared" si="4"/>
        <v>0</v>
      </c>
      <c r="J52" s="2" t="str">
        <f t="shared" si="5"/>
        <v>합격</v>
      </c>
      <c r="K52" s="30" t="str">
        <f t="shared" si="6"/>
        <v>-</v>
      </c>
      <c r="L52" s="30" t="str">
        <f t="shared" si="7"/>
        <v>-</v>
      </c>
      <c r="M52" s="28"/>
      <c r="N52" s="28"/>
    </row>
    <row r="53" spans="4:14" x14ac:dyDescent="0.45">
      <c r="D53" s="49"/>
      <c r="F53" s="48">
        <f t="shared" si="3"/>
        <v>0</v>
      </c>
      <c r="G53" s="5">
        <f t="shared" si="4"/>
        <v>0</v>
      </c>
      <c r="J53" s="2" t="str">
        <f t="shared" si="5"/>
        <v>합격</v>
      </c>
      <c r="K53" s="30" t="str">
        <f t="shared" si="6"/>
        <v>-</v>
      </c>
      <c r="L53" s="30" t="str">
        <f t="shared" si="7"/>
        <v>-</v>
      </c>
      <c r="M53" s="28"/>
      <c r="N53" s="28"/>
    </row>
    <row r="54" spans="4:14" x14ac:dyDescent="0.45">
      <c r="D54" s="49"/>
      <c r="F54" s="48">
        <f t="shared" si="3"/>
        <v>0</v>
      </c>
      <c r="G54" s="5">
        <f t="shared" si="4"/>
        <v>0</v>
      </c>
      <c r="J54" s="2" t="str">
        <f t="shared" si="5"/>
        <v>합격</v>
      </c>
      <c r="K54" s="30" t="str">
        <f t="shared" si="6"/>
        <v>-</v>
      </c>
      <c r="L54" s="30" t="str">
        <f t="shared" si="7"/>
        <v>-</v>
      </c>
      <c r="M54" s="28"/>
      <c r="N54" s="28"/>
    </row>
    <row r="55" spans="4:14" x14ac:dyDescent="0.45">
      <c r="D55" s="49"/>
      <c r="F55" s="48">
        <f t="shared" si="3"/>
        <v>0</v>
      </c>
      <c r="G55" s="5">
        <f t="shared" si="4"/>
        <v>0</v>
      </c>
      <c r="J55" s="2" t="str">
        <f t="shared" si="5"/>
        <v>합격</v>
      </c>
      <c r="K55" s="30" t="str">
        <f t="shared" si="6"/>
        <v>-</v>
      </c>
      <c r="L55" s="30" t="str">
        <f t="shared" si="7"/>
        <v>-</v>
      </c>
      <c r="M55" s="28"/>
      <c r="N55" s="28"/>
    </row>
    <row r="56" spans="4:14" x14ac:dyDescent="0.45">
      <c r="D56" s="49"/>
      <c r="F56" s="48">
        <f t="shared" si="3"/>
        <v>0</v>
      </c>
      <c r="G56" s="5">
        <f t="shared" si="4"/>
        <v>0</v>
      </c>
      <c r="J56" s="2" t="str">
        <f t="shared" si="5"/>
        <v>합격</v>
      </c>
      <c r="K56" s="30" t="str">
        <f t="shared" si="6"/>
        <v>-</v>
      </c>
      <c r="L56" s="30" t="str">
        <f t="shared" si="7"/>
        <v>-</v>
      </c>
      <c r="M56" s="28"/>
      <c r="N56" s="28"/>
    </row>
    <row r="57" spans="4:14" x14ac:dyDescent="0.45">
      <c r="D57" s="49"/>
      <c r="F57" s="48">
        <f t="shared" si="3"/>
        <v>0</v>
      </c>
      <c r="G57" s="5">
        <f t="shared" si="4"/>
        <v>0</v>
      </c>
      <c r="J57" s="2" t="str">
        <f t="shared" si="5"/>
        <v>합격</v>
      </c>
      <c r="K57" s="30" t="str">
        <f t="shared" si="6"/>
        <v>-</v>
      </c>
      <c r="L57" s="30" t="str">
        <f t="shared" si="7"/>
        <v>-</v>
      </c>
      <c r="M57" s="28"/>
      <c r="N57" s="28"/>
    </row>
    <row r="58" spans="4:14" x14ac:dyDescent="0.45">
      <c r="D58" s="49"/>
      <c r="F58" s="48">
        <f t="shared" si="3"/>
        <v>0</v>
      </c>
      <c r="G58" s="5">
        <f t="shared" si="4"/>
        <v>0</v>
      </c>
      <c r="J58" s="2" t="str">
        <f t="shared" si="5"/>
        <v>합격</v>
      </c>
      <c r="K58" s="30" t="str">
        <f t="shared" si="6"/>
        <v>-</v>
      </c>
      <c r="L58" s="30" t="str">
        <f t="shared" si="7"/>
        <v>-</v>
      </c>
      <c r="M58" s="28"/>
      <c r="N58" s="28"/>
    </row>
    <row r="59" spans="4:14" x14ac:dyDescent="0.45">
      <c r="D59" s="49"/>
      <c r="F59" s="48">
        <f t="shared" si="3"/>
        <v>0</v>
      </c>
      <c r="G59" s="5">
        <f t="shared" si="4"/>
        <v>0</v>
      </c>
      <c r="J59" s="2" t="str">
        <f t="shared" si="5"/>
        <v>합격</v>
      </c>
      <c r="K59" s="30" t="str">
        <f t="shared" si="6"/>
        <v>-</v>
      </c>
      <c r="L59" s="30" t="str">
        <f t="shared" si="7"/>
        <v>-</v>
      </c>
      <c r="M59" s="28"/>
      <c r="N59" s="28"/>
    </row>
    <row r="60" spans="4:14" x14ac:dyDescent="0.45">
      <c r="D60" s="49"/>
      <c r="F60" s="48">
        <f t="shared" si="3"/>
        <v>0</v>
      </c>
      <c r="G60" s="5">
        <f t="shared" si="4"/>
        <v>0</v>
      </c>
      <c r="J60" s="2" t="str">
        <f t="shared" si="5"/>
        <v>합격</v>
      </c>
      <c r="K60" s="30" t="str">
        <f t="shared" si="6"/>
        <v>-</v>
      </c>
      <c r="L60" s="30" t="str">
        <f t="shared" si="7"/>
        <v>-</v>
      </c>
      <c r="M60" s="28"/>
      <c r="N60" s="28"/>
    </row>
    <row r="61" spans="4:14" x14ac:dyDescent="0.45">
      <c r="D61" s="49"/>
      <c r="F61" s="48">
        <f t="shared" si="3"/>
        <v>0</v>
      </c>
      <c r="G61" s="5">
        <f t="shared" si="4"/>
        <v>0</v>
      </c>
      <c r="J61" s="2" t="str">
        <f t="shared" si="5"/>
        <v>합격</v>
      </c>
      <c r="K61" s="30" t="str">
        <f t="shared" si="6"/>
        <v>-</v>
      </c>
      <c r="L61" s="30" t="str">
        <f t="shared" si="7"/>
        <v>-</v>
      </c>
      <c r="M61" s="28"/>
      <c r="N61" s="28"/>
    </row>
    <row r="62" spans="4:14" x14ac:dyDescent="0.45">
      <c r="D62" s="49"/>
      <c r="F62" s="48">
        <f t="shared" si="3"/>
        <v>0</v>
      </c>
      <c r="G62" s="5">
        <f t="shared" si="4"/>
        <v>0</v>
      </c>
      <c r="J62" s="2" t="str">
        <f t="shared" si="5"/>
        <v>합격</v>
      </c>
      <c r="K62" s="30" t="str">
        <f t="shared" si="6"/>
        <v>-</v>
      </c>
      <c r="L62" s="30" t="str">
        <f t="shared" si="7"/>
        <v>-</v>
      </c>
      <c r="M62" s="28"/>
      <c r="N62" s="28"/>
    </row>
    <row r="63" spans="4:14" x14ac:dyDescent="0.45">
      <c r="D63" s="49"/>
      <c r="F63" s="48">
        <f t="shared" si="3"/>
        <v>0</v>
      </c>
      <c r="G63" s="5">
        <f t="shared" si="4"/>
        <v>0</v>
      </c>
      <c r="J63" s="2" t="str">
        <f t="shared" si="5"/>
        <v>합격</v>
      </c>
      <c r="K63" s="30" t="str">
        <f t="shared" si="6"/>
        <v>-</v>
      </c>
      <c r="L63" s="30" t="str">
        <f t="shared" si="7"/>
        <v>-</v>
      </c>
      <c r="M63" s="28"/>
      <c r="N63" s="28"/>
    </row>
    <row r="64" spans="4:14" x14ac:dyDescent="0.45">
      <c r="D64" s="49"/>
      <c r="F64" s="48">
        <f t="shared" si="3"/>
        <v>0</v>
      </c>
      <c r="G64" s="5">
        <f t="shared" si="4"/>
        <v>0</v>
      </c>
      <c r="J64" s="2" t="str">
        <f t="shared" si="5"/>
        <v>합격</v>
      </c>
      <c r="K64" s="30" t="str">
        <f t="shared" si="6"/>
        <v>-</v>
      </c>
      <c r="L64" s="30" t="str">
        <f t="shared" si="7"/>
        <v>-</v>
      </c>
      <c r="M64" s="28"/>
      <c r="N64" s="28"/>
    </row>
    <row r="65" spans="4:14" x14ac:dyDescent="0.45">
      <c r="D65" s="49"/>
      <c r="F65" s="48">
        <f t="shared" si="3"/>
        <v>0</v>
      </c>
      <c r="G65" s="5">
        <f t="shared" si="4"/>
        <v>0</v>
      </c>
      <c r="J65" s="2" t="str">
        <f t="shared" si="5"/>
        <v>합격</v>
      </c>
      <c r="K65" s="30" t="str">
        <f t="shared" si="6"/>
        <v>-</v>
      </c>
      <c r="L65" s="30" t="str">
        <f t="shared" si="7"/>
        <v>-</v>
      </c>
      <c r="M65" s="28"/>
      <c r="N65" s="28"/>
    </row>
    <row r="66" spans="4:14" x14ac:dyDescent="0.45">
      <c r="D66" s="49"/>
      <c r="F66" s="48">
        <f t="shared" si="3"/>
        <v>0</v>
      </c>
      <c r="G66" s="5">
        <f t="shared" si="4"/>
        <v>0</v>
      </c>
      <c r="J66" s="2" t="str">
        <f t="shared" si="5"/>
        <v>합격</v>
      </c>
      <c r="K66" s="30" t="str">
        <f t="shared" si="6"/>
        <v>-</v>
      </c>
      <c r="L66" s="30" t="str">
        <f t="shared" si="7"/>
        <v>-</v>
      </c>
      <c r="M66" s="28"/>
      <c r="N66" s="28"/>
    </row>
    <row r="67" spans="4:14" x14ac:dyDescent="0.45">
      <c r="D67" s="49"/>
      <c r="F67" s="48">
        <f t="shared" si="3"/>
        <v>0</v>
      </c>
      <c r="G67" s="5">
        <f t="shared" si="4"/>
        <v>0</v>
      </c>
      <c r="J67" s="2" t="str">
        <f t="shared" si="5"/>
        <v>합격</v>
      </c>
      <c r="K67" s="30" t="str">
        <f t="shared" si="6"/>
        <v>-</v>
      </c>
      <c r="L67" s="30" t="str">
        <f t="shared" si="7"/>
        <v>-</v>
      </c>
      <c r="M67" s="28"/>
      <c r="N67" s="28"/>
    </row>
    <row r="68" spans="4:14" x14ac:dyDescent="0.45">
      <c r="D68" s="49"/>
      <c r="F68" s="48">
        <f t="shared" si="3"/>
        <v>0</v>
      </c>
      <c r="G68" s="5">
        <f t="shared" si="4"/>
        <v>0</v>
      </c>
      <c r="J68" s="2" t="str">
        <f t="shared" si="5"/>
        <v>합격</v>
      </c>
      <c r="K68" s="30" t="str">
        <f t="shared" si="6"/>
        <v>-</v>
      </c>
      <c r="L68" s="30" t="str">
        <f t="shared" si="7"/>
        <v>-</v>
      </c>
      <c r="M68" s="28"/>
      <c r="N68" s="28"/>
    </row>
    <row r="69" spans="4:14" x14ac:dyDescent="0.45">
      <c r="D69" s="49"/>
      <c r="F69" s="48">
        <f t="shared" si="3"/>
        <v>0</v>
      </c>
      <c r="G69" s="5">
        <f t="shared" si="4"/>
        <v>0</v>
      </c>
      <c r="J69" s="2" t="str">
        <f t="shared" si="5"/>
        <v>합격</v>
      </c>
      <c r="K69" s="30" t="str">
        <f t="shared" si="6"/>
        <v>-</v>
      </c>
      <c r="L69" s="30" t="str">
        <f t="shared" si="7"/>
        <v>-</v>
      </c>
      <c r="M69" s="28"/>
      <c r="N69" s="28"/>
    </row>
    <row r="70" spans="4:14" x14ac:dyDescent="0.45">
      <c r="D70" s="49"/>
      <c r="F70" s="48">
        <f t="shared" si="3"/>
        <v>0</v>
      </c>
      <c r="G70" s="5">
        <f t="shared" si="4"/>
        <v>0</v>
      </c>
      <c r="J70" s="2" t="str">
        <f t="shared" si="5"/>
        <v>합격</v>
      </c>
      <c r="K70" s="30" t="str">
        <f t="shared" si="6"/>
        <v>-</v>
      </c>
      <c r="L70" s="30" t="str">
        <f t="shared" si="7"/>
        <v>-</v>
      </c>
      <c r="M70" s="28"/>
      <c r="N70" s="28"/>
    </row>
    <row r="71" spans="4:14" x14ac:dyDescent="0.45">
      <c r="D71" s="49"/>
      <c r="F71" s="48">
        <f t="shared" si="3"/>
        <v>0</v>
      </c>
      <c r="G71" s="5">
        <f t="shared" si="4"/>
        <v>0</v>
      </c>
      <c r="J71" s="2" t="str">
        <f t="shared" si="5"/>
        <v>합격</v>
      </c>
      <c r="K71" s="30" t="str">
        <f t="shared" si="6"/>
        <v>-</v>
      </c>
      <c r="L71" s="30" t="str">
        <f t="shared" si="7"/>
        <v>-</v>
      </c>
      <c r="M71" s="28"/>
      <c r="N71" s="28"/>
    </row>
    <row r="72" spans="4:14" x14ac:dyDescent="0.45">
      <c r="D72" s="49"/>
      <c r="F72" s="48">
        <f t="shared" si="3"/>
        <v>0</v>
      </c>
      <c r="G72" s="5">
        <f t="shared" si="4"/>
        <v>0</v>
      </c>
      <c r="J72" s="2" t="str">
        <f t="shared" si="5"/>
        <v>합격</v>
      </c>
      <c r="K72" s="30" t="str">
        <f t="shared" si="6"/>
        <v>-</v>
      </c>
      <c r="L72" s="30" t="str">
        <f t="shared" si="7"/>
        <v>-</v>
      </c>
      <c r="M72" s="28"/>
      <c r="N72" s="28"/>
    </row>
    <row r="73" spans="4:14" x14ac:dyDescent="0.45">
      <c r="D73" s="49"/>
      <c r="F73" s="48">
        <f t="shared" ref="F73:F136" si="8">E73*60*0.001</f>
        <v>0</v>
      </c>
      <c r="G73" s="5">
        <f t="shared" ref="G73:G136" si="9">IFERROR(POWER((B73/C73)*F73^3,1/3),0)</f>
        <v>0</v>
      </c>
      <c r="J73" s="2" t="str">
        <f t="shared" si="5"/>
        <v>합격</v>
      </c>
      <c r="K73" s="30" t="str">
        <f t="shared" si="6"/>
        <v>-</v>
      </c>
      <c r="L73" s="30" t="str">
        <f t="shared" si="7"/>
        <v>-</v>
      </c>
      <c r="M73" s="28"/>
      <c r="N73" s="28"/>
    </row>
    <row r="74" spans="4:14" x14ac:dyDescent="0.45">
      <c r="D74" s="49"/>
      <c r="F74" s="48">
        <f t="shared" si="8"/>
        <v>0</v>
      </c>
      <c r="G74" s="5">
        <f t="shared" si="9"/>
        <v>0</v>
      </c>
      <c r="J74" s="2" t="str">
        <f t="shared" si="5"/>
        <v>합격</v>
      </c>
      <c r="K74" s="30" t="str">
        <f t="shared" si="6"/>
        <v>-</v>
      </c>
      <c r="L74" s="30" t="str">
        <f t="shared" si="7"/>
        <v>-</v>
      </c>
      <c r="M74" s="28"/>
      <c r="N74" s="28"/>
    </row>
    <row r="75" spans="4:14" x14ac:dyDescent="0.45">
      <c r="D75" s="49"/>
      <c r="F75" s="48">
        <f t="shared" si="8"/>
        <v>0</v>
      </c>
      <c r="G75" s="5">
        <f t="shared" si="9"/>
        <v>0</v>
      </c>
      <c r="J75" s="2" t="str">
        <f t="shared" si="5"/>
        <v>합격</v>
      </c>
      <c r="K75" s="30" t="str">
        <f t="shared" si="6"/>
        <v>-</v>
      </c>
      <c r="L75" s="30" t="str">
        <f t="shared" si="7"/>
        <v>-</v>
      </c>
      <c r="M75" s="28"/>
      <c r="N75" s="28"/>
    </row>
    <row r="76" spans="4:14" x14ac:dyDescent="0.45">
      <c r="D76" s="49"/>
      <c r="F76" s="48">
        <f t="shared" si="8"/>
        <v>0</v>
      </c>
      <c r="G76" s="5">
        <f t="shared" si="9"/>
        <v>0</v>
      </c>
      <c r="J76" s="2" t="str">
        <f t="shared" si="5"/>
        <v>합격</v>
      </c>
      <c r="K76" s="30" t="str">
        <f t="shared" si="6"/>
        <v>-</v>
      </c>
      <c r="L76" s="30" t="str">
        <f t="shared" si="7"/>
        <v>-</v>
      </c>
      <c r="M76" s="28"/>
      <c r="N76" s="28"/>
    </row>
    <row r="77" spans="4:14" x14ac:dyDescent="0.45">
      <c r="D77" s="49"/>
      <c r="F77" s="48">
        <f t="shared" si="8"/>
        <v>0</v>
      </c>
      <c r="G77" s="5">
        <f t="shared" si="9"/>
        <v>0</v>
      </c>
      <c r="J77" s="2" t="str">
        <f t="shared" si="5"/>
        <v>합격</v>
      </c>
      <c r="K77" s="30" t="str">
        <f t="shared" si="6"/>
        <v>-</v>
      </c>
      <c r="L77" s="30" t="str">
        <f t="shared" si="7"/>
        <v>-</v>
      </c>
      <c r="M77" s="28"/>
      <c r="N77" s="28"/>
    </row>
    <row r="78" spans="4:14" x14ac:dyDescent="0.45">
      <c r="D78" s="49"/>
      <c r="F78" s="48">
        <f t="shared" si="8"/>
        <v>0</v>
      </c>
      <c r="G78" s="5">
        <f t="shared" si="9"/>
        <v>0</v>
      </c>
      <c r="J78" s="2" t="str">
        <f t="shared" si="5"/>
        <v>합격</v>
      </c>
      <c r="K78" s="30" t="str">
        <f t="shared" si="6"/>
        <v>-</v>
      </c>
      <c r="L78" s="30" t="str">
        <f t="shared" si="7"/>
        <v>-</v>
      </c>
      <c r="M78" s="28"/>
      <c r="N78" s="28"/>
    </row>
    <row r="79" spans="4:14" x14ac:dyDescent="0.45">
      <c r="D79" s="49"/>
      <c r="F79" s="48">
        <f t="shared" si="8"/>
        <v>0</v>
      </c>
      <c r="G79" s="5">
        <f t="shared" si="9"/>
        <v>0</v>
      </c>
      <c r="J79" s="2" t="str">
        <f t="shared" si="5"/>
        <v>합격</v>
      </c>
      <c r="K79" s="30" t="str">
        <f t="shared" si="6"/>
        <v>-</v>
      </c>
      <c r="L79" s="30" t="str">
        <f t="shared" si="7"/>
        <v>-</v>
      </c>
      <c r="M79" s="28"/>
      <c r="N79" s="28"/>
    </row>
    <row r="80" spans="4:14" x14ac:dyDescent="0.45">
      <c r="D80" s="49"/>
      <c r="F80" s="48">
        <f t="shared" si="8"/>
        <v>0</v>
      </c>
      <c r="G80" s="5">
        <f t="shared" si="9"/>
        <v>0</v>
      </c>
      <c r="J80" s="2" t="str">
        <f t="shared" si="5"/>
        <v>합격</v>
      </c>
      <c r="K80" s="30" t="str">
        <f t="shared" si="6"/>
        <v>-</v>
      </c>
      <c r="L80" s="30" t="str">
        <f t="shared" si="7"/>
        <v>-</v>
      </c>
      <c r="M80" s="28"/>
      <c r="N80" s="28"/>
    </row>
    <row r="81" spans="4:14" x14ac:dyDescent="0.45">
      <c r="D81" s="49"/>
      <c r="F81" s="48">
        <f t="shared" si="8"/>
        <v>0</v>
      </c>
      <c r="G81" s="5">
        <f t="shared" si="9"/>
        <v>0</v>
      </c>
      <c r="J81" s="2" t="str">
        <f t="shared" si="5"/>
        <v>합격</v>
      </c>
      <c r="K81" s="30" t="str">
        <f t="shared" si="6"/>
        <v>-</v>
      </c>
      <c r="L81" s="30" t="str">
        <f t="shared" si="7"/>
        <v>-</v>
      </c>
      <c r="M81" s="28"/>
      <c r="N81" s="28"/>
    </row>
    <row r="82" spans="4:14" x14ac:dyDescent="0.45">
      <c r="D82" s="49"/>
      <c r="F82" s="48">
        <f t="shared" si="8"/>
        <v>0</v>
      </c>
      <c r="G82" s="5">
        <f t="shared" si="9"/>
        <v>0</v>
      </c>
      <c r="J82" s="2" t="str">
        <f t="shared" si="5"/>
        <v>합격</v>
      </c>
      <c r="K82" s="30" t="str">
        <f t="shared" si="6"/>
        <v>-</v>
      </c>
      <c r="L82" s="30" t="str">
        <f t="shared" si="7"/>
        <v>-</v>
      </c>
      <c r="M82" s="28"/>
      <c r="N82" s="28"/>
    </row>
    <row r="83" spans="4:14" x14ac:dyDescent="0.45">
      <c r="D83" s="49"/>
      <c r="F83" s="48">
        <f t="shared" si="8"/>
        <v>0</v>
      </c>
      <c r="G83" s="5">
        <f t="shared" si="9"/>
        <v>0</v>
      </c>
      <c r="J83" s="2" t="str">
        <f t="shared" si="5"/>
        <v>합격</v>
      </c>
      <c r="K83" s="30" t="str">
        <f t="shared" si="6"/>
        <v>-</v>
      </c>
      <c r="L83" s="30" t="str">
        <f t="shared" si="7"/>
        <v>-</v>
      </c>
      <c r="M83" s="28"/>
      <c r="N83" s="28"/>
    </row>
    <row r="84" spans="4:14" x14ac:dyDescent="0.45">
      <c r="D84" s="49"/>
      <c r="F84" s="48">
        <f t="shared" si="8"/>
        <v>0</v>
      </c>
      <c r="G84" s="5">
        <f t="shared" si="9"/>
        <v>0</v>
      </c>
      <c r="J84" s="2" t="str">
        <f t="shared" si="5"/>
        <v>합격</v>
      </c>
      <c r="K84" s="30" t="str">
        <f t="shared" si="6"/>
        <v>-</v>
      </c>
      <c r="L84" s="30" t="str">
        <f t="shared" si="7"/>
        <v>-</v>
      </c>
      <c r="M84" s="28"/>
      <c r="N84" s="28"/>
    </row>
    <row r="85" spans="4:14" x14ac:dyDescent="0.45">
      <c r="D85" s="49"/>
      <c r="F85" s="48">
        <f t="shared" si="8"/>
        <v>0</v>
      </c>
      <c r="G85" s="5">
        <f t="shared" si="9"/>
        <v>0</v>
      </c>
      <c r="J85" s="2" t="str">
        <f t="shared" ref="J85:J148" si="10">IF(OR(D85&lt;G85*0.9,D85&gt;G85*1.1),"불합격","합격")</f>
        <v>합격</v>
      </c>
      <c r="K85" s="30" t="str">
        <f t="shared" ref="K85:K148" si="11">IFERROR(D85/G85,"-")</f>
        <v>-</v>
      </c>
      <c r="L85" s="30" t="str">
        <f t="shared" si="7"/>
        <v>-</v>
      </c>
      <c r="M85" s="28"/>
      <c r="N85" s="28"/>
    </row>
    <row r="86" spans="4:14" x14ac:dyDescent="0.45">
      <c r="D86" s="49"/>
      <c r="F86" s="48">
        <f t="shared" si="8"/>
        <v>0</v>
      </c>
      <c r="G86" s="5">
        <f t="shared" si="9"/>
        <v>0</v>
      </c>
      <c r="J86" s="2" t="str">
        <f t="shared" si="10"/>
        <v>합격</v>
      </c>
      <c r="K86" s="30" t="str">
        <f t="shared" si="11"/>
        <v>-</v>
      </c>
      <c r="L86" s="30" t="str">
        <f t="shared" si="7"/>
        <v>-</v>
      </c>
      <c r="M86" s="28"/>
      <c r="N86" s="28"/>
    </row>
    <row r="87" spans="4:14" x14ac:dyDescent="0.45">
      <c r="D87" s="49"/>
      <c r="F87" s="48">
        <f t="shared" si="8"/>
        <v>0</v>
      </c>
      <c r="G87" s="5">
        <f t="shared" si="9"/>
        <v>0</v>
      </c>
      <c r="J87" s="2" t="str">
        <f t="shared" si="10"/>
        <v>합격</v>
      </c>
      <c r="K87" s="30" t="str">
        <f t="shared" si="11"/>
        <v>-</v>
      </c>
      <c r="L87" s="30" t="str">
        <f t="shared" si="7"/>
        <v>-</v>
      </c>
      <c r="M87" s="28"/>
      <c r="N87" s="28"/>
    </row>
    <row r="88" spans="4:14" x14ac:dyDescent="0.45">
      <c r="D88" s="49"/>
      <c r="F88" s="48">
        <f t="shared" si="8"/>
        <v>0</v>
      </c>
      <c r="G88" s="5">
        <f t="shared" si="9"/>
        <v>0</v>
      </c>
      <c r="J88" s="2" t="str">
        <f t="shared" si="10"/>
        <v>합격</v>
      </c>
      <c r="K88" s="30" t="str">
        <f t="shared" si="11"/>
        <v>-</v>
      </c>
      <c r="L88" s="30" t="str">
        <f t="shared" si="7"/>
        <v>-</v>
      </c>
      <c r="M88" s="28"/>
      <c r="N88" s="28"/>
    </row>
    <row r="89" spans="4:14" x14ac:dyDescent="0.45">
      <c r="D89" s="49"/>
      <c r="F89" s="48">
        <f t="shared" si="8"/>
        <v>0</v>
      </c>
      <c r="G89" s="5">
        <f t="shared" si="9"/>
        <v>0</v>
      </c>
      <c r="J89" s="2" t="str">
        <f t="shared" si="10"/>
        <v>합격</v>
      </c>
      <c r="K89" s="30" t="str">
        <f t="shared" si="11"/>
        <v>-</v>
      </c>
      <c r="L89" s="30" t="str">
        <f t="shared" si="7"/>
        <v>-</v>
      </c>
      <c r="M89" s="28"/>
      <c r="N89" s="28"/>
    </row>
    <row r="90" spans="4:14" x14ac:dyDescent="0.45">
      <c r="D90" s="49"/>
      <c r="F90" s="48">
        <f t="shared" si="8"/>
        <v>0</v>
      </c>
      <c r="G90" s="5">
        <f t="shared" si="9"/>
        <v>0</v>
      </c>
      <c r="J90" s="2" t="str">
        <f t="shared" si="10"/>
        <v>합격</v>
      </c>
      <c r="K90" s="30" t="str">
        <f t="shared" si="11"/>
        <v>-</v>
      </c>
      <c r="L90" s="30" t="str">
        <f t="shared" ref="L90:L153" si="12">IFERROR(G90/F90,"-")</f>
        <v>-</v>
      </c>
      <c r="M90" s="28"/>
      <c r="N90" s="28"/>
    </row>
    <row r="91" spans="4:14" x14ac:dyDescent="0.45">
      <c r="D91" s="49"/>
      <c r="F91" s="48">
        <f t="shared" si="8"/>
        <v>0</v>
      </c>
      <c r="G91" s="5">
        <f t="shared" si="9"/>
        <v>0</v>
      </c>
      <c r="J91" s="2" t="str">
        <f t="shared" si="10"/>
        <v>합격</v>
      </c>
      <c r="K91" s="30" t="str">
        <f t="shared" si="11"/>
        <v>-</v>
      </c>
      <c r="L91" s="30" t="str">
        <f t="shared" si="12"/>
        <v>-</v>
      </c>
      <c r="M91" s="28"/>
      <c r="N91" s="28"/>
    </row>
    <row r="92" spans="4:14" x14ac:dyDescent="0.45">
      <c r="D92" s="49"/>
      <c r="F92" s="48">
        <f t="shared" si="8"/>
        <v>0</v>
      </c>
      <c r="G92" s="5">
        <f t="shared" si="9"/>
        <v>0</v>
      </c>
      <c r="J92" s="2" t="str">
        <f t="shared" si="10"/>
        <v>합격</v>
      </c>
      <c r="K92" s="30" t="str">
        <f t="shared" si="11"/>
        <v>-</v>
      </c>
      <c r="L92" s="30" t="str">
        <f t="shared" si="12"/>
        <v>-</v>
      </c>
      <c r="M92" s="28"/>
      <c r="N92" s="28"/>
    </row>
    <row r="93" spans="4:14" x14ac:dyDescent="0.45">
      <c r="D93" s="49"/>
      <c r="F93" s="48">
        <f t="shared" si="8"/>
        <v>0</v>
      </c>
      <c r="G93" s="5">
        <f t="shared" si="9"/>
        <v>0</v>
      </c>
      <c r="J93" s="2" t="str">
        <f t="shared" si="10"/>
        <v>합격</v>
      </c>
      <c r="K93" s="30" t="str">
        <f t="shared" si="11"/>
        <v>-</v>
      </c>
      <c r="L93" s="30" t="str">
        <f t="shared" si="12"/>
        <v>-</v>
      </c>
      <c r="M93" s="28"/>
      <c r="N93" s="28"/>
    </row>
    <row r="94" spans="4:14" x14ac:dyDescent="0.45">
      <c r="D94" s="49"/>
      <c r="F94" s="48">
        <f t="shared" si="8"/>
        <v>0</v>
      </c>
      <c r="G94" s="5">
        <f t="shared" si="9"/>
        <v>0</v>
      </c>
      <c r="J94" s="2" t="str">
        <f t="shared" si="10"/>
        <v>합격</v>
      </c>
      <c r="K94" s="30" t="str">
        <f t="shared" si="11"/>
        <v>-</v>
      </c>
      <c r="L94" s="30" t="str">
        <f t="shared" si="12"/>
        <v>-</v>
      </c>
      <c r="M94" s="28"/>
      <c r="N94" s="28"/>
    </row>
    <row r="95" spans="4:14" x14ac:dyDescent="0.45">
      <c r="D95" s="49"/>
      <c r="F95" s="48">
        <f t="shared" si="8"/>
        <v>0</v>
      </c>
      <c r="G95" s="5">
        <f t="shared" si="9"/>
        <v>0</v>
      </c>
      <c r="J95" s="2" t="str">
        <f t="shared" si="10"/>
        <v>합격</v>
      </c>
      <c r="K95" s="30" t="str">
        <f t="shared" si="11"/>
        <v>-</v>
      </c>
      <c r="L95" s="30" t="str">
        <f t="shared" si="12"/>
        <v>-</v>
      </c>
      <c r="M95" s="28"/>
      <c r="N95" s="28"/>
    </row>
    <row r="96" spans="4:14" x14ac:dyDescent="0.45">
      <c r="D96" s="49"/>
      <c r="F96" s="48">
        <f t="shared" si="8"/>
        <v>0</v>
      </c>
      <c r="G96" s="5">
        <f t="shared" si="9"/>
        <v>0</v>
      </c>
      <c r="J96" s="2" t="str">
        <f t="shared" si="10"/>
        <v>합격</v>
      </c>
      <c r="K96" s="30" t="str">
        <f t="shared" si="11"/>
        <v>-</v>
      </c>
      <c r="L96" s="30" t="str">
        <f t="shared" si="12"/>
        <v>-</v>
      </c>
      <c r="M96" s="28"/>
      <c r="N96" s="28"/>
    </row>
    <row r="97" spans="4:14" x14ac:dyDescent="0.45">
      <c r="D97" s="49"/>
      <c r="F97" s="48">
        <f t="shared" si="8"/>
        <v>0</v>
      </c>
      <c r="G97" s="5">
        <f t="shared" si="9"/>
        <v>0</v>
      </c>
      <c r="J97" s="2" t="str">
        <f t="shared" si="10"/>
        <v>합격</v>
      </c>
      <c r="K97" s="30" t="str">
        <f t="shared" si="11"/>
        <v>-</v>
      </c>
      <c r="L97" s="30" t="str">
        <f t="shared" si="12"/>
        <v>-</v>
      </c>
      <c r="M97" s="28"/>
      <c r="N97" s="28"/>
    </row>
    <row r="98" spans="4:14" x14ac:dyDescent="0.45">
      <c r="D98" s="49"/>
      <c r="F98" s="48">
        <f t="shared" si="8"/>
        <v>0</v>
      </c>
      <c r="G98" s="5">
        <f t="shared" si="9"/>
        <v>0</v>
      </c>
      <c r="J98" s="2" t="str">
        <f t="shared" si="10"/>
        <v>합격</v>
      </c>
      <c r="K98" s="30" t="str">
        <f t="shared" si="11"/>
        <v>-</v>
      </c>
      <c r="L98" s="30" t="str">
        <f t="shared" si="12"/>
        <v>-</v>
      </c>
      <c r="M98" s="28"/>
      <c r="N98" s="28"/>
    </row>
    <row r="99" spans="4:14" x14ac:dyDescent="0.45">
      <c r="D99" s="49"/>
      <c r="F99" s="48">
        <f t="shared" si="8"/>
        <v>0</v>
      </c>
      <c r="G99" s="5">
        <f t="shared" si="9"/>
        <v>0</v>
      </c>
      <c r="J99" s="2" t="str">
        <f t="shared" si="10"/>
        <v>합격</v>
      </c>
      <c r="K99" s="30" t="str">
        <f t="shared" si="11"/>
        <v>-</v>
      </c>
      <c r="L99" s="30" t="str">
        <f t="shared" si="12"/>
        <v>-</v>
      </c>
      <c r="M99" s="28"/>
      <c r="N99" s="28"/>
    </row>
    <row r="100" spans="4:14" x14ac:dyDescent="0.45">
      <c r="D100" s="49"/>
      <c r="F100" s="48">
        <f t="shared" si="8"/>
        <v>0</v>
      </c>
      <c r="G100" s="5">
        <f t="shared" si="9"/>
        <v>0</v>
      </c>
      <c r="J100" s="2" t="str">
        <f t="shared" si="10"/>
        <v>합격</v>
      </c>
      <c r="K100" s="30" t="str">
        <f t="shared" si="11"/>
        <v>-</v>
      </c>
      <c r="L100" s="30" t="str">
        <f t="shared" si="12"/>
        <v>-</v>
      </c>
      <c r="M100" s="28"/>
      <c r="N100" s="28"/>
    </row>
    <row r="101" spans="4:14" x14ac:dyDescent="0.45">
      <c r="D101" s="49"/>
      <c r="F101" s="48">
        <f t="shared" si="8"/>
        <v>0</v>
      </c>
      <c r="G101" s="5">
        <f t="shared" si="9"/>
        <v>0</v>
      </c>
      <c r="J101" s="2" t="str">
        <f t="shared" si="10"/>
        <v>합격</v>
      </c>
      <c r="K101" s="30" t="str">
        <f t="shared" si="11"/>
        <v>-</v>
      </c>
      <c r="L101" s="30" t="str">
        <f t="shared" si="12"/>
        <v>-</v>
      </c>
      <c r="M101" s="28"/>
      <c r="N101" s="28"/>
    </row>
    <row r="102" spans="4:14" x14ac:dyDescent="0.45">
      <c r="D102" s="49"/>
      <c r="F102" s="48">
        <f t="shared" si="8"/>
        <v>0</v>
      </c>
      <c r="G102" s="5">
        <f t="shared" si="9"/>
        <v>0</v>
      </c>
      <c r="J102" s="2" t="str">
        <f t="shared" si="10"/>
        <v>합격</v>
      </c>
      <c r="K102" s="30" t="str">
        <f t="shared" si="11"/>
        <v>-</v>
      </c>
      <c r="L102" s="30" t="str">
        <f t="shared" si="12"/>
        <v>-</v>
      </c>
      <c r="M102" s="28"/>
      <c r="N102" s="28"/>
    </row>
    <row r="103" spans="4:14" x14ac:dyDescent="0.45">
      <c r="D103" s="49"/>
      <c r="F103" s="48">
        <f t="shared" si="8"/>
        <v>0</v>
      </c>
      <c r="G103" s="5">
        <f t="shared" si="9"/>
        <v>0</v>
      </c>
      <c r="J103" s="2" t="str">
        <f t="shared" si="10"/>
        <v>합격</v>
      </c>
      <c r="K103" s="30" t="str">
        <f t="shared" si="11"/>
        <v>-</v>
      </c>
      <c r="L103" s="30" t="str">
        <f t="shared" si="12"/>
        <v>-</v>
      </c>
      <c r="M103" s="28"/>
      <c r="N103" s="28"/>
    </row>
    <row r="104" spans="4:14" x14ac:dyDescent="0.45">
      <c r="D104" s="49"/>
      <c r="F104" s="48">
        <f t="shared" si="8"/>
        <v>0</v>
      </c>
      <c r="G104" s="5">
        <f t="shared" si="9"/>
        <v>0</v>
      </c>
      <c r="J104" s="2" t="str">
        <f t="shared" si="10"/>
        <v>합격</v>
      </c>
      <c r="K104" s="30" t="str">
        <f t="shared" si="11"/>
        <v>-</v>
      </c>
      <c r="L104" s="30" t="str">
        <f t="shared" si="12"/>
        <v>-</v>
      </c>
      <c r="M104" s="28"/>
      <c r="N104" s="28"/>
    </row>
    <row r="105" spans="4:14" x14ac:dyDescent="0.45">
      <c r="D105" s="49"/>
      <c r="F105" s="48">
        <f t="shared" si="8"/>
        <v>0</v>
      </c>
      <c r="G105" s="5">
        <f t="shared" si="9"/>
        <v>0</v>
      </c>
      <c r="J105" s="2" t="str">
        <f t="shared" si="10"/>
        <v>합격</v>
      </c>
      <c r="K105" s="30" t="str">
        <f t="shared" si="11"/>
        <v>-</v>
      </c>
      <c r="L105" s="30" t="str">
        <f t="shared" si="12"/>
        <v>-</v>
      </c>
      <c r="M105" s="28"/>
      <c r="N105" s="28"/>
    </row>
    <row r="106" spans="4:14" x14ac:dyDescent="0.45">
      <c r="D106" s="49"/>
      <c r="F106" s="48">
        <f t="shared" si="8"/>
        <v>0</v>
      </c>
      <c r="G106" s="5">
        <f t="shared" si="9"/>
        <v>0</v>
      </c>
      <c r="J106" s="2" t="str">
        <f t="shared" si="10"/>
        <v>합격</v>
      </c>
      <c r="K106" s="30" t="str">
        <f t="shared" si="11"/>
        <v>-</v>
      </c>
      <c r="L106" s="30" t="str">
        <f t="shared" si="12"/>
        <v>-</v>
      </c>
      <c r="M106" s="28"/>
      <c r="N106" s="28"/>
    </row>
    <row r="107" spans="4:14" x14ac:dyDescent="0.45">
      <c r="D107" s="49"/>
      <c r="F107" s="48">
        <f t="shared" si="8"/>
        <v>0</v>
      </c>
      <c r="G107" s="5">
        <f t="shared" si="9"/>
        <v>0</v>
      </c>
      <c r="J107" s="2" t="str">
        <f t="shared" si="10"/>
        <v>합격</v>
      </c>
      <c r="K107" s="30" t="str">
        <f t="shared" si="11"/>
        <v>-</v>
      </c>
      <c r="L107" s="30" t="str">
        <f t="shared" si="12"/>
        <v>-</v>
      </c>
      <c r="M107" s="28"/>
      <c r="N107" s="28"/>
    </row>
    <row r="108" spans="4:14" x14ac:dyDescent="0.45">
      <c r="D108" s="49"/>
      <c r="F108" s="48">
        <f t="shared" si="8"/>
        <v>0</v>
      </c>
      <c r="G108" s="5">
        <f t="shared" si="9"/>
        <v>0</v>
      </c>
      <c r="J108" s="2" t="str">
        <f t="shared" si="10"/>
        <v>합격</v>
      </c>
      <c r="K108" s="30" t="str">
        <f t="shared" si="11"/>
        <v>-</v>
      </c>
      <c r="L108" s="30" t="str">
        <f t="shared" si="12"/>
        <v>-</v>
      </c>
      <c r="M108" s="28"/>
      <c r="N108" s="28"/>
    </row>
    <row r="109" spans="4:14" x14ac:dyDescent="0.45">
      <c r="D109" s="49"/>
      <c r="F109" s="48">
        <f t="shared" si="8"/>
        <v>0</v>
      </c>
      <c r="G109" s="5">
        <f t="shared" si="9"/>
        <v>0</v>
      </c>
      <c r="J109" s="2" t="str">
        <f t="shared" si="10"/>
        <v>합격</v>
      </c>
      <c r="K109" s="30" t="str">
        <f t="shared" si="11"/>
        <v>-</v>
      </c>
      <c r="L109" s="30" t="str">
        <f t="shared" si="12"/>
        <v>-</v>
      </c>
      <c r="M109" s="28"/>
      <c r="N109" s="28"/>
    </row>
    <row r="110" spans="4:14" x14ac:dyDescent="0.45">
      <c r="D110" s="49"/>
      <c r="F110" s="48">
        <f t="shared" si="8"/>
        <v>0</v>
      </c>
      <c r="G110" s="5">
        <f t="shared" si="9"/>
        <v>0</v>
      </c>
      <c r="J110" s="2" t="str">
        <f t="shared" si="10"/>
        <v>합격</v>
      </c>
      <c r="K110" s="30" t="str">
        <f t="shared" si="11"/>
        <v>-</v>
      </c>
      <c r="L110" s="30" t="str">
        <f t="shared" si="12"/>
        <v>-</v>
      </c>
      <c r="M110" s="28"/>
      <c r="N110" s="28"/>
    </row>
    <row r="111" spans="4:14" x14ac:dyDescent="0.45">
      <c r="D111" s="49"/>
      <c r="F111" s="48">
        <f t="shared" si="8"/>
        <v>0</v>
      </c>
      <c r="G111" s="5">
        <f t="shared" si="9"/>
        <v>0</v>
      </c>
      <c r="J111" s="2" t="str">
        <f t="shared" si="10"/>
        <v>합격</v>
      </c>
      <c r="K111" s="30" t="str">
        <f t="shared" si="11"/>
        <v>-</v>
      </c>
      <c r="L111" s="30" t="str">
        <f t="shared" si="12"/>
        <v>-</v>
      </c>
      <c r="M111" s="28"/>
      <c r="N111" s="28"/>
    </row>
    <row r="112" spans="4:14" x14ac:dyDescent="0.45">
      <c r="D112" s="49"/>
      <c r="F112" s="48">
        <f t="shared" si="8"/>
        <v>0</v>
      </c>
      <c r="G112" s="5">
        <f t="shared" si="9"/>
        <v>0</v>
      </c>
      <c r="J112" s="2" t="str">
        <f t="shared" si="10"/>
        <v>합격</v>
      </c>
      <c r="K112" s="30" t="str">
        <f t="shared" si="11"/>
        <v>-</v>
      </c>
      <c r="L112" s="30" t="str">
        <f t="shared" si="12"/>
        <v>-</v>
      </c>
      <c r="M112" s="28"/>
      <c r="N112" s="28"/>
    </row>
    <row r="113" spans="4:14" x14ac:dyDescent="0.45">
      <c r="D113" s="49"/>
      <c r="F113" s="48">
        <f t="shared" si="8"/>
        <v>0</v>
      </c>
      <c r="G113" s="5">
        <f t="shared" si="9"/>
        <v>0</v>
      </c>
      <c r="J113" s="2" t="str">
        <f t="shared" si="10"/>
        <v>합격</v>
      </c>
      <c r="K113" s="30" t="str">
        <f t="shared" si="11"/>
        <v>-</v>
      </c>
      <c r="L113" s="30" t="str">
        <f t="shared" si="12"/>
        <v>-</v>
      </c>
      <c r="M113" s="28"/>
      <c r="N113" s="28"/>
    </row>
    <row r="114" spans="4:14" x14ac:dyDescent="0.45">
      <c r="D114" s="49"/>
      <c r="F114" s="48">
        <f t="shared" si="8"/>
        <v>0</v>
      </c>
      <c r="G114" s="5">
        <f t="shared" si="9"/>
        <v>0</v>
      </c>
      <c r="J114" s="2" t="str">
        <f t="shared" si="10"/>
        <v>합격</v>
      </c>
      <c r="K114" s="30" t="str">
        <f t="shared" si="11"/>
        <v>-</v>
      </c>
      <c r="L114" s="30" t="str">
        <f t="shared" si="12"/>
        <v>-</v>
      </c>
      <c r="M114" s="28"/>
      <c r="N114" s="28"/>
    </row>
    <row r="115" spans="4:14" x14ac:dyDescent="0.45">
      <c r="D115" s="49"/>
      <c r="F115" s="48">
        <f t="shared" si="8"/>
        <v>0</v>
      </c>
      <c r="G115" s="5">
        <f t="shared" si="9"/>
        <v>0</v>
      </c>
      <c r="J115" s="2" t="str">
        <f t="shared" si="10"/>
        <v>합격</v>
      </c>
      <c r="K115" s="30" t="str">
        <f t="shared" si="11"/>
        <v>-</v>
      </c>
      <c r="L115" s="30" t="str">
        <f t="shared" si="12"/>
        <v>-</v>
      </c>
      <c r="M115" s="28"/>
      <c r="N115" s="28"/>
    </row>
    <row r="116" spans="4:14" x14ac:dyDescent="0.45">
      <c r="D116" s="49"/>
      <c r="F116" s="48">
        <f t="shared" si="8"/>
        <v>0</v>
      </c>
      <c r="G116" s="5">
        <f t="shared" si="9"/>
        <v>0</v>
      </c>
      <c r="J116" s="2" t="str">
        <f t="shared" si="10"/>
        <v>합격</v>
      </c>
      <c r="K116" s="30" t="str">
        <f t="shared" si="11"/>
        <v>-</v>
      </c>
      <c r="L116" s="30" t="str">
        <f t="shared" si="12"/>
        <v>-</v>
      </c>
      <c r="M116" s="28"/>
      <c r="N116" s="28"/>
    </row>
    <row r="117" spans="4:14" x14ac:dyDescent="0.45">
      <c r="D117" s="49"/>
      <c r="F117" s="48">
        <f t="shared" si="8"/>
        <v>0</v>
      </c>
      <c r="G117" s="5">
        <f t="shared" si="9"/>
        <v>0</v>
      </c>
      <c r="J117" s="2" t="str">
        <f t="shared" si="10"/>
        <v>합격</v>
      </c>
      <c r="K117" s="30" t="str">
        <f t="shared" si="11"/>
        <v>-</v>
      </c>
      <c r="L117" s="30" t="str">
        <f t="shared" si="12"/>
        <v>-</v>
      </c>
      <c r="M117" s="28"/>
      <c r="N117" s="28"/>
    </row>
    <row r="118" spans="4:14" x14ac:dyDescent="0.45">
      <c r="D118" s="49"/>
      <c r="F118" s="48">
        <f t="shared" si="8"/>
        <v>0</v>
      </c>
      <c r="G118" s="5">
        <f t="shared" si="9"/>
        <v>0</v>
      </c>
      <c r="J118" s="2" t="str">
        <f t="shared" si="10"/>
        <v>합격</v>
      </c>
      <c r="K118" s="30" t="str">
        <f t="shared" si="11"/>
        <v>-</v>
      </c>
      <c r="L118" s="30" t="str">
        <f t="shared" si="12"/>
        <v>-</v>
      </c>
      <c r="M118" s="28"/>
      <c r="N118" s="28"/>
    </row>
    <row r="119" spans="4:14" x14ac:dyDescent="0.45">
      <c r="D119" s="49"/>
      <c r="F119" s="48">
        <f t="shared" si="8"/>
        <v>0</v>
      </c>
      <c r="G119" s="5">
        <f t="shared" si="9"/>
        <v>0</v>
      </c>
      <c r="J119" s="2" t="str">
        <f t="shared" si="10"/>
        <v>합격</v>
      </c>
      <c r="K119" s="30" t="str">
        <f t="shared" si="11"/>
        <v>-</v>
      </c>
      <c r="L119" s="30" t="str">
        <f t="shared" si="12"/>
        <v>-</v>
      </c>
      <c r="M119" s="28"/>
      <c r="N119" s="28"/>
    </row>
    <row r="120" spans="4:14" x14ac:dyDescent="0.45">
      <c r="D120" s="49"/>
      <c r="F120" s="48">
        <f t="shared" si="8"/>
        <v>0</v>
      </c>
      <c r="G120" s="5">
        <f t="shared" si="9"/>
        <v>0</v>
      </c>
      <c r="J120" s="2" t="str">
        <f t="shared" si="10"/>
        <v>합격</v>
      </c>
      <c r="K120" s="30" t="str">
        <f t="shared" si="11"/>
        <v>-</v>
      </c>
      <c r="L120" s="30" t="str">
        <f t="shared" si="12"/>
        <v>-</v>
      </c>
      <c r="M120" s="28"/>
      <c r="N120" s="28"/>
    </row>
    <row r="121" spans="4:14" x14ac:dyDescent="0.45">
      <c r="D121" s="49"/>
      <c r="F121" s="48">
        <f t="shared" si="8"/>
        <v>0</v>
      </c>
      <c r="G121" s="5">
        <f t="shared" si="9"/>
        <v>0</v>
      </c>
      <c r="J121" s="2" t="str">
        <f t="shared" si="10"/>
        <v>합격</v>
      </c>
      <c r="K121" s="30" t="str">
        <f t="shared" si="11"/>
        <v>-</v>
      </c>
      <c r="L121" s="30" t="str">
        <f t="shared" si="12"/>
        <v>-</v>
      </c>
      <c r="M121" s="28"/>
      <c r="N121" s="28"/>
    </row>
    <row r="122" spans="4:14" x14ac:dyDescent="0.45">
      <c r="D122" s="49"/>
      <c r="F122" s="48">
        <f t="shared" si="8"/>
        <v>0</v>
      </c>
      <c r="G122" s="5">
        <f t="shared" si="9"/>
        <v>0</v>
      </c>
      <c r="J122" s="2" t="str">
        <f t="shared" si="10"/>
        <v>합격</v>
      </c>
      <c r="K122" s="30" t="str">
        <f t="shared" si="11"/>
        <v>-</v>
      </c>
      <c r="L122" s="30" t="str">
        <f t="shared" si="12"/>
        <v>-</v>
      </c>
      <c r="M122" s="28"/>
      <c r="N122" s="28"/>
    </row>
    <row r="123" spans="4:14" x14ac:dyDescent="0.45">
      <c r="D123" s="49"/>
      <c r="F123" s="48">
        <f t="shared" si="8"/>
        <v>0</v>
      </c>
      <c r="G123" s="5">
        <f t="shared" si="9"/>
        <v>0</v>
      </c>
      <c r="J123" s="2" t="str">
        <f t="shared" si="10"/>
        <v>합격</v>
      </c>
      <c r="K123" s="30" t="str">
        <f t="shared" si="11"/>
        <v>-</v>
      </c>
      <c r="L123" s="30" t="str">
        <f t="shared" si="12"/>
        <v>-</v>
      </c>
      <c r="M123" s="28"/>
      <c r="N123" s="28"/>
    </row>
    <row r="124" spans="4:14" x14ac:dyDescent="0.45">
      <c r="D124" s="49"/>
      <c r="F124" s="48">
        <f t="shared" si="8"/>
        <v>0</v>
      </c>
      <c r="G124" s="5">
        <f t="shared" si="9"/>
        <v>0</v>
      </c>
      <c r="J124" s="2" t="str">
        <f t="shared" si="10"/>
        <v>합격</v>
      </c>
      <c r="K124" s="30" t="str">
        <f t="shared" si="11"/>
        <v>-</v>
      </c>
      <c r="L124" s="30" t="str">
        <f t="shared" si="12"/>
        <v>-</v>
      </c>
      <c r="M124" s="28"/>
      <c r="N124" s="28"/>
    </row>
    <row r="125" spans="4:14" x14ac:dyDescent="0.45">
      <c r="D125" s="49"/>
      <c r="F125" s="48">
        <f t="shared" si="8"/>
        <v>0</v>
      </c>
      <c r="G125" s="5">
        <f t="shared" si="9"/>
        <v>0</v>
      </c>
      <c r="J125" s="2" t="str">
        <f t="shared" si="10"/>
        <v>합격</v>
      </c>
      <c r="K125" s="30" t="str">
        <f t="shared" si="11"/>
        <v>-</v>
      </c>
      <c r="L125" s="30" t="str">
        <f t="shared" si="12"/>
        <v>-</v>
      </c>
      <c r="M125" s="28"/>
      <c r="N125" s="28"/>
    </row>
    <row r="126" spans="4:14" x14ac:dyDescent="0.45">
      <c r="D126" s="49"/>
      <c r="F126" s="48">
        <f t="shared" si="8"/>
        <v>0</v>
      </c>
      <c r="G126" s="5">
        <f t="shared" si="9"/>
        <v>0</v>
      </c>
      <c r="J126" s="2" t="str">
        <f t="shared" si="10"/>
        <v>합격</v>
      </c>
      <c r="K126" s="30" t="str">
        <f t="shared" si="11"/>
        <v>-</v>
      </c>
      <c r="L126" s="30" t="str">
        <f t="shared" si="12"/>
        <v>-</v>
      </c>
      <c r="M126" s="28"/>
      <c r="N126" s="28"/>
    </row>
    <row r="127" spans="4:14" x14ac:dyDescent="0.45">
      <c r="D127" s="49"/>
      <c r="F127" s="48">
        <f t="shared" si="8"/>
        <v>0</v>
      </c>
      <c r="G127" s="5">
        <f t="shared" si="9"/>
        <v>0</v>
      </c>
      <c r="J127" s="2" t="str">
        <f t="shared" si="10"/>
        <v>합격</v>
      </c>
      <c r="K127" s="30" t="str">
        <f t="shared" si="11"/>
        <v>-</v>
      </c>
      <c r="L127" s="30" t="str">
        <f t="shared" si="12"/>
        <v>-</v>
      </c>
      <c r="M127" s="28"/>
      <c r="N127" s="28"/>
    </row>
    <row r="128" spans="4:14" x14ac:dyDescent="0.45">
      <c r="D128" s="49"/>
      <c r="F128" s="48">
        <f t="shared" si="8"/>
        <v>0</v>
      </c>
      <c r="G128" s="5">
        <f t="shared" si="9"/>
        <v>0</v>
      </c>
      <c r="J128" s="2" t="str">
        <f t="shared" si="10"/>
        <v>합격</v>
      </c>
      <c r="K128" s="30" t="str">
        <f t="shared" si="11"/>
        <v>-</v>
      </c>
      <c r="L128" s="30" t="str">
        <f t="shared" si="12"/>
        <v>-</v>
      </c>
      <c r="M128" s="28"/>
      <c r="N128" s="28"/>
    </row>
    <row r="129" spans="4:14" x14ac:dyDescent="0.45">
      <c r="D129" s="49"/>
      <c r="F129" s="48">
        <f t="shared" si="8"/>
        <v>0</v>
      </c>
      <c r="G129" s="5">
        <f t="shared" si="9"/>
        <v>0</v>
      </c>
      <c r="J129" s="2" t="str">
        <f t="shared" si="10"/>
        <v>합격</v>
      </c>
      <c r="K129" s="30" t="str">
        <f t="shared" si="11"/>
        <v>-</v>
      </c>
      <c r="L129" s="30" t="str">
        <f t="shared" si="12"/>
        <v>-</v>
      </c>
      <c r="M129" s="28"/>
      <c r="N129" s="28"/>
    </row>
    <row r="130" spans="4:14" x14ac:dyDescent="0.45">
      <c r="D130" s="49"/>
      <c r="F130" s="48">
        <f t="shared" si="8"/>
        <v>0</v>
      </c>
      <c r="G130" s="5">
        <f t="shared" si="9"/>
        <v>0</v>
      </c>
      <c r="J130" s="2" t="str">
        <f t="shared" si="10"/>
        <v>합격</v>
      </c>
      <c r="K130" s="30" t="str">
        <f t="shared" si="11"/>
        <v>-</v>
      </c>
      <c r="L130" s="30" t="str">
        <f t="shared" si="12"/>
        <v>-</v>
      </c>
      <c r="M130" s="28"/>
      <c r="N130" s="28"/>
    </row>
    <row r="131" spans="4:14" x14ac:dyDescent="0.45">
      <c r="D131" s="49"/>
      <c r="F131" s="48">
        <f t="shared" si="8"/>
        <v>0</v>
      </c>
      <c r="G131" s="5">
        <f t="shared" si="9"/>
        <v>0</v>
      </c>
      <c r="J131" s="2" t="str">
        <f t="shared" si="10"/>
        <v>합격</v>
      </c>
      <c r="K131" s="30" t="str">
        <f t="shared" si="11"/>
        <v>-</v>
      </c>
      <c r="L131" s="30" t="str">
        <f t="shared" si="12"/>
        <v>-</v>
      </c>
      <c r="M131" s="28"/>
      <c r="N131" s="28"/>
    </row>
    <row r="132" spans="4:14" x14ac:dyDescent="0.45">
      <c r="D132" s="49"/>
      <c r="F132" s="48">
        <f t="shared" si="8"/>
        <v>0</v>
      </c>
      <c r="G132" s="5">
        <f t="shared" si="9"/>
        <v>0</v>
      </c>
      <c r="J132" s="2" t="str">
        <f t="shared" si="10"/>
        <v>합격</v>
      </c>
      <c r="K132" s="30" t="str">
        <f t="shared" si="11"/>
        <v>-</v>
      </c>
      <c r="L132" s="30" t="str">
        <f t="shared" si="12"/>
        <v>-</v>
      </c>
      <c r="M132" s="28"/>
      <c r="N132" s="28"/>
    </row>
    <row r="133" spans="4:14" x14ac:dyDescent="0.45">
      <c r="D133" s="49"/>
      <c r="F133" s="48">
        <f t="shared" si="8"/>
        <v>0</v>
      </c>
      <c r="G133" s="5">
        <f t="shared" si="9"/>
        <v>0</v>
      </c>
      <c r="J133" s="2" t="str">
        <f t="shared" si="10"/>
        <v>합격</v>
      </c>
      <c r="K133" s="30" t="str">
        <f t="shared" si="11"/>
        <v>-</v>
      </c>
      <c r="L133" s="30" t="str">
        <f t="shared" si="12"/>
        <v>-</v>
      </c>
      <c r="M133" s="28"/>
      <c r="N133" s="28"/>
    </row>
    <row r="134" spans="4:14" x14ac:dyDescent="0.45">
      <c r="D134" s="49"/>
      <c r="F134" s="48">
        <f t="shared" si="8"/>
        <v>0</v>
      </c>
      <c r="G134" s="5">
        <f t="shared" si="9"/>
        <v>0</v>
      </c>
      <c r="J134" s="2" t="str">
        <f t="shared" si="10"/>
        <v>합격</v>
      </c>
      <c r="K134" s="30" t="str">
        <f t="shared" si="11"/>
        <v>-</v>
      </c>
      <c r="L134" s="30" t="str">
        <f t="shared" si="12"/>
        <v>-</v>
      </c>
      <c r="M134" s="28"/>
      <c r="N134" s="28"/>
    </row>
    <row r="135" spans="4:14" x14ac:dyDescent="0.45">
      <c r="D135" s="49"/>
      <c r="F135" s="48">
        <f t="shared" si="8"/>
        <v>0</v>
      </c>
      <c r="G135" s="5">
        <f t="shared" si="9"/>
        <v>0</v>
      </c>
      <c r="J135" s="2" t="str">
        <f t="shared" si="10"/>
        <v>합격</v>
      </c>
      <c r="K135" s="30" t="str">
        <f t="shared" si="11"/>
        <v>-</v>
      </c>
      <c r="L135" s="30" t="str">
        <f t="shared" si="12"/>
        <v>-</v>
      </c>
      <c r="M135" s="28"/>
      <c r="N135" s="28"/>
    </row>
    <row r="136" spans="4:14" x14ac:dyDescent="0.45">
      <c r="D136" s="49"/>
      <c r="F136" s="48">
        <f t="shared" si="8"/>
        <v>0</v>
      </c>
      <c r="G136" s="5">
        <f t="shared" si="9"/>
        <v>0</v>
      </c>
      <c r="J136" s="2" t="str">
        <f t="shared" si="10"/>
        <v>합격</v>
      </c>
      <c r="K136" s="30" t="str">
        <f t="shared" si="11"/>
        <v>-</v>
      </c>
      <c r="L136" s="30" t="str">
        <f t="shared" si="12"/>
        <v>-</v>
      </c>
      <c r="M136" s="28"/>
      <c r="N136" s="28"/>
    </row>
    <row r="137" spans="4:14" x14ac:dyDescent="0.45">
      <c r="D137" s="49"/>
      <c r="F137" s="48">
        <f t="shared" ref="F137:F200" si="13">E137*60*0.001</f>
        <v>0</v>
      </c>
      <c r="G137" s="5">
        <f t="shared" ref="G137:G200" si="14">IFERROR(POWER((B137/C137)*F137^3,1/3),0)</f>
        <v>0</v>
      </c>
      <c r="J137" s="2" t="str">
        <f t="shared" si="10"/>
        <v>합격</v>
      </c>
      <c r="K137" s="30" t="str">
        <f t="shared" si="11"/>
        <v>-</v>
      </c>
      <c r="L137" s="30" t="str">
        <f t="shared" si="12"/>
        <v>-</v>
      </c>
      <c r="M137" s="28"/>
      <c r="N137" s="28"/>
    </row>
    <row r="138" spans="4:14" x14ac:dyDescent="0.45">
      <c r="D138" s="49"/>
      <c r="F138" s="48">
        <f t="shared" si="13"/>
        <v>0</v>
      </c>
      <c r="G138" s="5">
        <f t="shared" si="14"/>
        <v>0</v>
      </c>
      <c r="J138" s="2" t="str">
        <f t="shared" si="10"/>
        <v>합격</v>
      </c>
      <c r="K138" s="30" t="str">
        <f t="shared" si="11"/>
        <v>-</v>
      </c>
      <c r="L138" s="30" t="str">
        <f t="shared" si="12"/>
        <v>-</v>
      </c>
      <c r="M138" s="28"/>
      <c r="N138" s="28"/>
    </row>
    <row r="139" spans="4:14" x14ac:dyDescent="0.45">
      <c r="D139" s="49"/>
      <c r="F139" s="48">
        <f t="shared" si="13"/>
        <v>0</v>
      </c>
      <c r="G139" s="5">
        <f t="shared" si="14"/>
        <v>0</v>
      </c>
      <c r="J139" s="2" t="str">
        <f t="shared" si="10"/>
        <v>합격</v>
      </c>
      <c r="K139" s="30" t="str">
        <f t="shared" si="11"/>
        <v>-</v>
      </c>
      <c r="L139" s="30" t="str">
        <f t="shared" si="12"/>
        <v>-</v>
      </c>
      <c r="M139" s="28"/>
      <c r="N139" s="28"/>
    </row>
    <row r="140" spans="4:14" x14ac:dyDescent="0.45">
      <c r="D140" s="49"/>
      <c r="F140" s="48">
        <f t="shared" si="13"/>
        <v>0</v>
      </c>
      <c r="G140" s="5">
        <f t="shared" si="14"/>
        <v>0</v>
      </c>
      <c r="J140" s="2" t="str">
        <f t="shared" si="10"/>
        <v>합격</v>
      </c>
      <c r="K140" s="30" t="str">
        <f t="shared" si="11"/>
        <v>-</v>
      </c>
      <c r="L140" s="30" t="str">
        <f t="shared" si="12"/>
        <v>-</v>
      </c>
      <c r="M140" s="28"/>
      <c r="N140" s="28"/>
    </row>
    <row r="141" spans="4:14" x14ac:dyDescent="0.45">
      <c r="D141" s="49"/>
      <c r="F141" s="48">
        <f t="shared" si="13"/>
        <v>0</v>
      </c>
      <c r="G141" s="5">
        <f t="shared" si="14"/>
        <v>0</v>
      </c>
      <c r="J141" s="2" t="str">
        <f t="shared" si="10"/>
        <v>합격</v>
      </c>
      <c r="K141" s="30" t="str">
        <f t="shared" si="11"/>
        <v>-</v>
      </c>
      <c r="L141" s="30" t="str">
        <f t="shared" si="12"/>
        <v>-</v>
      </c>
      <c r="M141" s="28"/>
      <c r="N141" s="28"/>
    </row>
    <row r="142" spans="4:14" x14ac:dyDescent="0.45">
      <c r="D142" s="49"/>
      <c r="F142" s="48">
        <f t="shared" si="13"/>
        <v>0</v>
      </c>
      <c r="G142" s="5">
        <f t="shared" si="14"/>
        <v>0</v>
      </c>
      <c r="J142" s="2" t="str">
        <f t="shared" si="10"/>
        <v>합격</v>
      </c>
      <c r="K142" s="30" t="str">
        <f t="shared" si="11"/>
        <v>-</v>
      </c>
      <c r="L142" s="30" t="str">
        <f t="shared" si="12"/>
        <v>-</v>
      </c>
      <c r="M142" s="28"/>
      <c r="N142" s="28"/>
    </row>
    <row r="143" spans="4:14" x14ac:dyDescent="0.45">
      <c r="D143" s="49"/>
      <c r="F143" s="48">
        <f t="shared" si="13"/>
        <v>0</v>
      </c>
      <c r="G143" s="5">
        <f t="shared" si="14"/>
        <v>0</v>
      </c>
      <c r="J143" s="2" t="str">
        <f t="shared" si="10"/>
        <v>합격</v>
      </c>
      <c r="K143" s="30" t="str">
        <f t="shared" si="11"/>
        <v>-</v>
      </c>
      <c r="L143" s="30" t="str">
        <f t="shared" si="12"/>
        <v>-</v>
      </c>
      <c r="M143" s="28"/>
      <c r="N143" s="28"/>
    </row>
    <row r="144" spans="4:14" x14ac:dyDescent="0.45">
      <c r="D144" s="49"/>
      <c r="F144" s="48">
        <f t="shared" si="13"/>
        <v>0</v>
      </c>
      <c r="G144" s="5">
        <f t="shared" si="14"/>
        <v>0</v>
      </c>
      <c r="J144" s="2" t="str">
        <f t="shared" si="10"/>
        <v>합격</v>
      </c>
      <c r="K144" s="30" t="str">
        <f t="shared" si="11"/>
        <v>-</v>
      </c>
      <c r="L144" s="30" t="str">
        <f t="shared" si="12"/>
        <v>-</v>
      </c>
      <c r="M144" s="28"/>
      <c r="N144" s="28"/>
    </row>
    <row r="145" spans="4:14" x14ac:dyDescent="0.45">
      <c r="D145" s="49"/>
      <c r="F145" s="48">
        <f t="shared" si="13"/>
        <v>0</v>
      </c>
      <c r="G145" s="5">
        <f t="shared" si="14"/>
        <v>0</v>
      </c>
      <c r="J145" s="2" t="str">
        <f t="shared" si="10"/>
        <v>합격</v>
      </c>
      <c r="K145" s="30" t="str">
        <f t="shared" si="11"/>
        <v>-</v>
      </c>
      <c r="L145" s="30" t="str">
        <f t="shared" si="12"/>
        <v>-</v>
      </c>
      <c r="M145" s="28"/>
      <c r="N145" s="28"/>
    </row>
    <row r="146" spans="4:14" x14ac:dyDescent="0.45">
      <c r="D146" s="49"/>
      <c r="F146" s="48">
        <f t="shared" si="13"/>
        <v>0</v>
      </c>
      <c r="G146" s="5">
        <f t="shared" si="14"/>
        <v>0</v>
      </c>
      <c r="J146" s="2" t="str">
        <f t="shared" si="10"/>
        <v>합격</v>
      </c>
      <c r="K146" s="30" t="str">
        <f t="shared" si="11"/>
        <v>-</v>
      </c>
      <c r="L146" s="30" t="str">
        <f t="shared" si="12"/>
        <v>-</v>
      </c>
      <c r="M146" s="28"/>
      <c r="N146" s="28"/>
    </row>
    <row r="147" spans="4:14" x14ac:dyDescent="0.45">
      <c r="D147" s="49"/>
      <c r="F147" s="48">
        <f t="shared" si="13"/>
        <v>0</v>
      </c>
      <c r="G147" s="5">
        <f t="shared" si="14"/>
        <v>0</v>
      </c>
      <c r="J147" s="2" t="str">
        <f t="shared" si="10"/>
        <v>합격</v>
      </c>
      <c r="K147" s="30" t="str">
        <f t="shared" si="11"/>
        <v>-</v>
      </c>
      <c r="L147" s="30" t="str">
        <f t="shared" si="12"/>
        <v>-</v>
      </c>
      <c r="M147" s="28"/>
      <c r="N147" s="28"/>
    </row>
    <row r="148" spans="4:14" x14ac:dyDescent="0.45">
      <c r="D148" s="49"/>
      <c r="F148" s="48">
        <f t="shared" si="13"/>
        <v>0</v>
      </c>
      <c r="G148" s="5">
        <f t="shared" si="14"/>
        <v>0</v>
      </c>
      <c r="J148" s="2" t="str">
        <f t="shared" si="10"/>
        <v>합격</v>
      </c>
      <c r="K148" s="30" t="str">
        <f t="shared" si="11"/>
        <v>-</v>
      </c>
      <c r="L148" s="30" t="str">
        <f t="shared" si="12"/>
        <v>-</v>
      </c>
      <c r="M148" s="28"/>
      <c r="N148" s="28"/>
    </row>
    <row r="149" spans="4:14" x14ac:dyDescent="0.45">
      <c r="D149" s="49"/>
      <c r="F149" s="48">
        <f t="shared" si="13"/>
        <v>0</v>
      </c>
      <c r="G149" s="5">
        <f t="shared" si="14"/>
        <v>0</v>
      </c>
      <c r="J149" s="2" t="str">
        <f t="shared" ref="J149:J212" si="15">IF(OR(D149&lt;G149*0.9,D149&gt;G149*1.1),"불합격","합격")</f>
        <v>합격</v>
      </c>
      <c r="K149" s="30" t="str">
        <f t="shared" ref="K149:K212" si="16">IFERROR(D149/G149,"-")</f>
        <v>-</v>
      </c>
      <c r="L149" s="30" t="str">
        <f t="shared" si="12"/>
        <v>-</v>
      </c>
      <c r="M149" s="28"/>
      <c r="N149" s="28"/>
    </row>
    <row r="150" spans="4:14" x14ac:dyDescent="0.45">
      <c r="D150" s="49"/>
      <c r="F150" s="48">
        <f t="shared" si="13"/>
        <v>0</v>
      </c>
      <c r="G150" s="5">
        <f t="shared" si="14"/>
        <v>0</v>
      </c>
      <c r="J150" s="2" t="str">
        <f t="shared" si="15"/>
        <v>합격</v>
      </c>
      <c r="K150" s="30" t="str">
        <f t="shared" si="16"/>
        <v>-</v>
      </c>
      <c r="L150" s="30" t="str">
        <f t="shared" si="12"/>
        <v>-</v>
      </c>
      <c r="M150" s="28"/>
      <c r="N150" s="28"/>
    </row>
    <row r="151" spans="4:14" x14ac:dyDescent="0.45">
      <c r="D151" s="49"/>
      <c r="F151" s="48">
        <f t="shared" si="13"/>
        <v>0</v>
      </c>
      <c r="G151" s="5">
        <f t="shared" si="14"/>
        <v>0</v>
      </c>
      <c r="J151" s="2" t="str">
        <f t="shared" si="15"/>
        <v>합격</v>
      </c>
      <c r="K151" s="30" t="str">
        <f t="shared" si="16"/>
        <v>-</v>
      </c>
      <c r="L151" s="30" t="str">
        <f t="shared" si="12"/>
        <v>-</v>
      </c>
      <c r="M151" s="28"/>
      <c r="N151" s="28"/>
    </row>
    <row r="152" spans="4:14" x14ac:dyDescent="0.45">
      <c r="D152" s="49"/>
      <c r="F152" s="48">
        <f t="shared" si="13"/>
        <v>0</v>
      </c>
      <c r="G152" s="5">
        <f t="shared" si="14"/>
        <v>0</v>
      </c>
      <c r="J152" s="2" t="str">
        <f t="shared" si="15"/>
        <v>합격</v>
      </c>
      <c r="K152" s="30" t="str">
        <f t="shared" si="16"/>
        <v>-</v>
      </c>
      <c r="L152" s="30" t="str">
        <f t="shared" si="12"/>
        <v>-</v>
      </c>
      <c r="M152" s="28"/>
      <c r="N152" s="28"/>
    </row>
    <row r="153" spans="4:14" x14ac:dyDescent="0.45">
      <c r="D153" s="49"/>
      <c r="F153" s="48">
        <f t="shared" si="13"/>
        <v>0</v>
      </c>
      <c r="G153" s="5">
        <f t="shared" si="14"/>
        <v>0</v>
      </c>
      <c r="J153" s="2" t="str">
        <f t="shared" si="15"/>
        <v>합격</v>
      </c>
      <c r="K153" s="30" t="str">
        <f t="shared" si="16"/>
        <v>-</v>
      </c>
      <c r="L153" s="30" t="str">
        <f t="shared" si="12"/>
        <v>-</v>
      </c>
      <c r="M153" s="28"/>
      <c r="N153" s="28"/>
    </row>
    <row r="154" spans="4:14" x14ac:dyDescent="0.45">
      <c r="D154" s="49"/>
      <c r="F154" s="48">
        <f t="shared" si="13"/>
        <v>0</v>
      </c>
      <c r="G154" s="5">
        <f t="shared" si="14"/>
        <v>0</v>
      </c>
      <c r="J154" s="2" t="str">
        <f t="shared" si="15"/>
        <v>합격</v>
      </c>
      <c r="K154" s="30" t="str">
        <f t="shared" si="16"/>
        <v>-</v>
      </c>
      <c r="L154" s="30" t="str">
        <f t="shared" ref="L154:L217" si="17">IFERROR(G154/F154,"-")</f>
        <v>-</v>
      </c>
      <c r="M154" s="28"/>
      <c r="N154" s="28"/>
    </row>
    <row r="155" spans="4:14" x14ac:dyDescent="0.45">
      <c r="D155" s="49"/>
      <c r="F155" s="48">
        <f t="shared" si="13"/>
        <v>0</v>
      </c>
      <c r="G155" s="5">
        <f t="shared" si="14"/>
        <v>0</v>
      </c>
      <c r="J155" s="2" t="str">
        <f t="shared" si="15"/>
        <v>합격</v>
      </c>
      <c r="K155" s="30" t="str">
        <f t="shared" si="16"/>
        <v>-</v>
      </c>
      <c r="L155" s="30" t="str">
        <f t="shared" si="17"/>
        <v>-</v>
      </c>
      <c r="M155" s="28"/>
      <c r="N155" s="28"/>
    </row>
    <row r="156" spans="4:14" x14ac:dyDescent="0.45">
      <c r="D156" s="49"/>
      <c r="F156" s="48">
        <f t="shared" si="13"/>
        <v>0</v>
      </c>
      <c r="G156" s="5">
        <f t="shared" si="14"/>
        <v>0</v>
      </c>
      <c r="J156" s="2" t="str">
        <f t="shared" si="15"/>
        <v>합격</v>
      </c>
      <c r="K156" s="30" t="str">
        <f t="shared" si="16"/>
        <v>-</v>
      </c>
      <c r="L156" s="30" t="str">
        <f t="shared" si="17"/>
        <v>-</v>
      </c>
      <c r="M156" s="28"/>
      <c r="N156" s="28"/>
    </row>
    <row r="157" spans="4:14" x14ac:dyDescent="0.45">
      <c r="D157" s="49"/>
      <c r="F157" s="48">
        <f t="shared" si="13"/>
        <v>0</v>
      </c>
      <c r="G157" s="5">
        <f t="shared" si="14"/>
        <v>0</v>
      </c>
      <c r="J157" s="2" t="str">
        <f t="shared" si="15"/>
        <v>합격</v>
      </c>
      <c r="K157" s="30" t="str">
        <f t="shared" si="16"/>
        <v>-</v>
      </c>
      <c r="L157" s="30" t="str">
        <f t="shared" si="17"/>
        <v>-</v>
      </c>
      <c r="M157" s="28"/>
      <c r="N157" s="28"/>
    </row>
    <row r="158" spans="4:14" x14ac:dyDescent="0.45">
      <c r="D158" s="49"/>
      <c r="F158" s="48">
        <f t="shared" si="13"/>
        <v>0</v>
      </c>
      <c r="G158" s="5">
        <f t="shared" si="14"/>
        <v>0</v>
      </c>
      <c r="J158" s="2" t="str">
        <f t="shared" si="15"/>
        <v>합격</v>
      </c>
      <c r="K158" s="30" t="str">
        <f t="shared" si="16"/>
        <v>-</v>
      </c>
      <c r="L158" s="30" t="str">
        <f t="shared" si="17"/>
        <v>-</v>
      </c>
      <c r="M158" s="28"/>
      <c r="N158" s="28"/>
    </row>
    <row r="159" spans="4:14" x14ac:dyDescent="0.45">
      <c r="D159" s="49"/>
      <c r="F159" s="48">
        <f t="shared" si="13"/>
        <v>0</v>
      </c>
      <c r="G159" s="5">
        <f t="shared" si="14"/>
        <v>0</v>
      </c>
      <c r="J159" s="2" t="str">
        <f t="shared" si="15"/>
        <v>합격</v>
      </c>
      <c r="K159" s="30" t="str">
        <f t="shared" si="16"/>
        <v>-</v>
      </c>
      <c r="L159" s="30" t="str">
        <f t="shared" si="17"/>
        <v>-</v>
      </c>
      <c r="M159" s="28"/>
      <c r="N159" s="28"/>
    </row>
    <row r="160" spans="4:14" x14ac:dyDescent="0.45">
      <c r="D160" s="49"/>
      <c r="F160" s="48">
        <f t="shared" si="13"/>
        <v>0</v>
      </c>
      <c r="G160" s="5">
        <f t="shared" si="14"/>
        <v>0</v>
      </c>
      <c r="J160" s="2" t="str">
        <f t="shared" si="15"/>
        <v>합격</v>
      </c>
      <c r="K160" s="30" t="str">
        <f t="shared" si="16"/>
        <v>-</v>
      </c>
      <c r="L160" s="30" t="str">
        <f t="shared" si="17"/>
        <v>-</v>
      </c>
      <c r="M160" s="28"/>
      <c r="N160" s="28"/>
    </row>
    <row r="161" spans="4:14" x14ac:dyDescent="0.45">
      <c r="D161" s="49"/>
      <c r="F161" s="48">
        <f t="shared" si="13"/>
        <v>0</v>
      </c>
      <c r="G161" s="5">
        <f t="shared" si="14"/>
        <v>0</v>
      </c>
      <c r="J161" s="2" t="str">
        <f t="shared" si="15"/>
        <v>합격</v>
      </c>
      <c r="K161" s="30" t="str">
        <f t="shared" si="16"/>
        <v>-</v>
      </c>
      <c r="L161" s="30" t="str">
        <f t="shared" si="17"/>
        <v>-</v>
      </c>
      <c r="M161" s="28"/>
      <c r="N161" s="28"/>
    </row>
    <row r="162" spans="4:14" x14ac:dyDescent="0.45">
      <c r="D162" s="49"/>
      <c r="F162" s="48">
        <f t="shared" si="13"/>
        <v>0</v>
      </c>
      <c r="G162" s="5">
        <f t="shared" si="14"/>
        <v>0</v>
      </c>
      <c r="J162" s="2" t="str">
        <f t="shared" si="15"/>
        <v>합격</v>
      </c>
      <c r="K162" s="30" t="str">
        <f t="shared" si="16"/>
        <v>-</v>
      </c>
      <c r="L162" s="30" t="str">
        <f t="shared" si="17"/>
        <v>-</v>
      </c>
      <c r="M162" s="28"/>
      <c r="N162" s="28"/>
    </row>
    <row r="163" spans="4:14" x14ac:dyDescent="0.45">
      <c r="D163" s="49"/>
      <c r="F163" s="48">
        <f t="shared" si="13"/>
        <v>0</v>
      </c>
      <c r="G163" s="5">
        <f t="shared" si="14"/>
        <v>0</v>
      </c>
      <c r="J163" s="2" t="str">
        <f t="shared" si="15"/>
        <v>합격</v>
      </c>
      <c r="K163" s="30" t="str">
        <f t="shared" si="16"/>
        <v>-</v>
      </c>
      <c r="L163" s="30" t="str">
        <f t="shared" si="17"/>
        <v>-</v>
      </c>
      <c r="M163" s="28"/>
      <c r="N163" s="28"/>
    </row>
    <row r="164" spans="4:14" x14ac:dyDescent="0.45">
      <c r="D164" s="49"/>
      <c r="F164" s="48">
        <f t="shared" si="13"/>
        <v>0</v>
      </c>
      <c r="G164" s="5">
        <f t="shared" si="14"/>
        <v>0</v>
      </c>
      <c r="J164" s="2" t="str">
        <f t="shared" si="15"/>
        <v>합격</v>
      </c>
      <c r="K164" s="30" t="str">
        <f t="shared" si="16"/>
        <v>-</v>
      </c>
      <c r="L164" s="30" t="str">
        <f t="shared" si="17"/>
        <v>-</v>
      </c>
      <c r="M164" s="28"/>
      <c r="N164" s="28"/>
    </row>
    <row r="165" spans="4:14" x14ac:dyDescent="0.45">
      <c r="D165" s="49"/>
      <c r="F165" s="48">
        <f t="shared" si="13"/>
        <v>0</v>
      </c>
      <c r="G165" s="5">
        <f t="shared" si="14"/>
        <v>0</v>
      </c>
      <c r="J165" s="2" t="str">
        <f t="shared" si="15"/>
        <v>합격</v>
      </c>
      <c r="K165" s="30" t="str">
        <f t="shared" si="16"/>
        <v>-</v>
      </c>
      <c r="L165" s="30" t="str">
        <f t="shared" si="17"/>
        <v>-</v>
      </c>
      <c r="M165" s="28"/>
      <c r="N165" s="28"/>
    </row>
    <row r="166" spans="4:14" x14ac:dyDescent="0.45">
      <c r="D166" s="49"/>
      <c r="F166" s="48">
        <f t="shared" si="13"/>
        <v>0</v>
      </c>
      <c r="G166" s="5">
        <f t="shared" si="14"/>
        <v>0</v>
      </c>
      <c r="J166" s="2" t="str">
        <f t="shared" si="15"/>
        <v>합격</v>
      </c>
      <c r="K166" s="30" t="str">
        <f t="shared" si="16"/>
        <v>-</v>
      </c>
      <c r="L166" s="30" t="str">
        <f t="shared" si="17"/>
        <v>-</v>
      </c>
      <c r="M166" s="28"/>
      <c r="N166" s="28"/>
    </row>
    <row r="167" spans="4:14" x14ac:dyDescent="0.45">
      <c r="D167" s="49"/>
      <c r="F167" s="48">
        <f t="shared" si="13"/>
        <v>0</v>
      </c>
      <c r="G167" s="5">
        <f t="shared" si="14"/>
        <v>0</v>
      </c>
      <c r="J167" s="2" t="str">
        <f t="shared" si="15"/>
        <v>합격</v>
      </c>
      <c r="K167" s="30" t="str">
        <f t="shared" si="16"/>
        <v>-</v>
      </c>
      <c r="L167" s="30" t="str">
        <f t="shared" si="17"/>
        <v>-</v>
      </c>
      <c r="M167" s="28"/>
      <c r="N167" s="28"/>
    </row>
    <row r="168" spans="4:14" x14ac:dyDescent="0.45">
      <c r="D168" s="49"/>
      <c r="F168" s="48">
        <f t="shared" si="13"/>
        <v>0</v>
      </c>
      <c r="G168" s="5">
        <f t="shared" si="14"/>
        <v>0</v>
      </c>
      <c r="J168" s="2" t="str">
        <f t="shared" si="15"/>
        <v>합격</v>
      </c>
      <c r="K168" s="30" t="str">
        <f t="shared" si="16"/>
        <v>-</v>
      </c>
      <c r="L168" s="30" t="str">
        <f t="shared" si="17"/>
        <v>-</v>
      </c>
      <c r="M168" s="28"/>
      <c r="N168" s="28"/>
    </row>
    <row r="169" spans="4:14" x14ac:dyDescent="0.45">
      <c r="D169" s="49"/>
      <c r="F169" s="48">
        <f t="shared" si="13"/>
        <v>0</v>
      </c>
      <c r="G169" s="5">
        <f t="shared" si="14"/>
        <v>0</v>
      </c>
      <c r="J169" s="2" t="str">
        <f t="shared" si="15"/>
        <v>합격</v>
      </c>
      <c r="K169" s="30" t="str">
        <f t="shared" si="16"/>
        <v>-</v>
      </c>
      <c r="L169" s="30" t="str">
        <f t="shared" si="17"/>
        <v>-</v>
      </c>
      <c r="M169" s="28"/>
      <c r="N169" s="28"/>
    </row>
    <row r="170" spans="4:14" x14ac:dyDescent="0.45">
      <c r="D170" s="49"/>
      <c r="F170" s="48">
        <f t="shared" si="13"/>
        <v>0</v>
      </c>
      <c r="G170" s="5">
        <f t="shared" si="14"/>
        <v>0</v>
      </c>
      <c r="J170" s="2" t="str">
        <f t="shared" si="15"/>
        <v>합격</v>
      </c>
      <c r="K170" s="30" t="str">
        <f t="shared" si="16"/>
        <v>-</v>
      </c>
      <c r="L170" s="30" t="str">
        <f t="shared" si="17"/>
        <v>-</v>
      </c>
      <c r="M170" s="28"/>
      <c r="N170" s="28"/>
    </row>
    <row r="171" spans="4:14" x14ac:dyDescent="0.45">
      <c r="D171" s="49"/>
      <c r="F171" s="48">
        <f t="shared" si="13"/>
        <v>0</v>
      </c>
      <c r="G171" s="5">
        <f t="shared" si="14"/>
        <v>0</v>
      </c>
      <c r="J171" s="2" t="str">
        <f t="shared" si="15"/>
        <v>합격</v>
      </c>
      <c r="K171" s="30" t="str">
        <f t="shared" si="16"/>
        <v>-</v>
      </c>
      <c r="L171" s="30" t="str">
        <f t="shared" si="17"/>
        <v>-</v>
      </c>
      <c r="M171" s="28"/>
      <c r="N171" s="28"/>
    </row>
    <row r="172" spans="4:14" x14ac:dyDescent="0.45">
      <c r="D172" s="49"/>
      <c r="F172" s="48">
        <f t="shared" si="13"/>
        <v>0</v>
      </c>
      <c r="G172" s="5">
        <f t="shared" si="14"/>
        <v>0</v>
      </c>
      <c r="J172" s="2" t="str">
        <f t="shared" si="15"/>
        <v>합격</v>
      </c>
      <c r="K172" s="30" t="str">
        <f t="shared" si="16"/>
        <v>-</v>
      </c>
      <c r="L172" s="30" t="str">
        <f t="shared" si="17"/>
        <v>-</v>
      </c>
      <c r="M172" s="28"/>
      <c r="N172" s="28"/>
    </row>
    <row r="173" spans="4:14" x14ac:dyDescent="0.45">
      <c r="D173" s="49"/>
      <c r="F173" s="48">
        <f t="shared" si="13"/>
        <v>0</v>
      </c>
      <c r="G173" s="5">
        <f t="shared" si="14"/>
        <v>0</v>
      </c>
      <c r="J173" s="2" t="str">
        <f t="shared" si="15"/>
        <v>합격</v>
      </c>
      <c r="K173" s="30" t="str">
        <f t="shared" si="16"/>
        <v>-</v>
      </c>
      <c r="L173" s="30" t="str">
        <f t="shared" si="17"/>
        <v>-</v>
      </c>
      <c r="M173" s="28"/>
      <c r="N173" s="28"/>
    </row>
    <row r="174" spans="4:14" x14ac:dyDescent="0.45">
      <c r="D174" s="49"/>
      <c r="F174" s="48">
        <f t="shared" si="13"/>
        <v>0</v>
      </c>
      <c r="G174" s="5">
        <f t="shared" si="14"/>
        <v>0</v>
      </c>
      <c r="J174" s="2" t="str">
        <f t="shared" si="15"/>
        <v>합격</v>
      </c>
      <c r="K174" s="30" t="str">
        <f t="shared" si="16"/>
        <v>-</v>
      </c>
      <c r="L174" s="30" t="str">
        <f t="shared" si="17"/>
        <v>-</v>
      </c>
      <c r="M174" s="28"/>
      <c r="N174" s="28"/>
    </row>
    <row r="175" spans="4:14" x14ac:dyDescent="0.45">
      <c r="D175" s="49"/>
      <c r="F175" s="48">
        <f t="shared" si="13"/>
        <v>0</v>
      </c>
      <c r="G175" s="5">
        <f t="shared" si="14"/>
        <v>0</v>
      </c>
      <c r="J175" s="2" t="str">
        <f t="shared" si="15"/>
        <v>합격</v>
      </c>
      <c r="K175" s="30" t="str">
        <f t="shared" si="16"/>
        <v>-</v>
      </c>
      <c r="L175" s="30" t="str">
        <f t="shared" si="17"/>
        <v>-</v>
      </c>
      <c r="M175" s="28"/>
      <c r="N175" s="28"/>
    </row>
    <row r="176" spans="4:14" x14ac:dyDescent="0.45">
      <c r="D176" s="49"/>
      <c r="F176" s="48">
        <f t="shared" si="13"/>
        <v>0</v>
      </c>
      <c r="G176" s="5">
        <f t="shared" si="14"/>
        <v>0</v>
      </c>
      <c r="J176" s="2" t="str">
        <f t="shared" si="15"/>
        <v>합격</v>
      </c>
      <c r="K176" s="30" t="str">
        <f t="shared" si="16"/>
        <v>-</v>
      </c>
      <c r="L176" s="30" t="str">
        <f t="shared" si="17"/>
        <v>-</v>
      </c>
      <c r="M176" s="28"/>
      <c r="N176" s="28"/>
    </row>
    <row r="177" spans="4:14" x14ac:dyDescent="0.45">
      <c r="D177" s="49"/>
      <c r="F177" s="48">
        <f t="shared" si="13"/>
        <v>0</v>
      </c>
      <c r="G177" s="5">
        <f t="shared" si="14"/>
        <v>0</v>
      </c>
      <c r="J177" s="2" t="str">
        <f t="shared" si="15"/>
        <v>합격</v>
      </c>
      <c r="K177" s="30" t="str">
        <f t="shared" si="16"/>
        <v>-</v>
      </c>
      <c r="L177" s="30" t="str">
        <f t="shared" si="17"/>
        <v>-</v>
      </c>
      <c r="M177" s="28"/>
      <c r="N177" s="28"/>
    </row>
    <row r="178" spans="4:14" x14ac:dyDescent="0.45">
      <c r="D178" s="49"/>
      <c r="F178" s="48">
        <f t="shared" si="13"/>
        <v>0</v>
      </c>
      <c r="G178" s="5">
        <f t="shared" si="14"/>
        <v>0</v>
      </c>
      <c r="J178" s="2" t="str">
        <f t="shared" si="15"/>
        <v>합격</v>
      </c>
      <c r="K178" s="30" t="str">
        <f t="shared" si="16"/>
        <v>-</v>
      </c>
      <c r="L178" s="30" t="str">
        <f t="shared" si="17"/>
        <v>-</v>
      </c>
      <c r="M178" s="28"/>
      <c r="N178" s="28"/>
    </row>
    <row r="179" spans="4:14" x14ac:dyDescent="0.45">
      <c r="D179" s="49"/>
      <c r="F179" s="48">
        <f t="shared" si="13"/>
        <v>0</v>
      </c>
      <c r="G179" s="5">
        <f t="shared" si="14"/>
        <v>0</v>
      </c>
      <c r="J179" s="2" t="str">
        <f t="shared" si="15"/>
        <v>합격</v>
      </c>
      <c r="K179" s="30" t="str">
        <f t="shared" si="16"/>
        <v>-</v>
      </c>
      <c r="L179" s="30" t="str">
        <f t="shared" si="17"/>
        <v>-</v>
      </c>
      <c r="M179" s="28"/>
      <c r="N179" s="28"/>
    </row>
    <row r="180" spans="4:14" x14ac:dyDescent="0.45">
      <c r="D180" s="49"/>
      <c r="F180" s="48">
        <f t="shared" si="13"/>
        <v>0</v>
      </c>
      <c r="G180" s="5">
        <f t="shared" si="14"/>
        <v>0</v>
      </c>
      <c r="J180" s="2" t="str">
        <f t="shared" si="15"/>
        <v>합격</v>
      </c>
      <c r="K180" s="30" t="str">
        <f t="shared" si="16"/>
        <v>-</v>
      </c>
      <c r="L180" s="30" t="str">
        <f t="shared" si="17"/>
        <v>-</v>
      </c>
      <c r="M180" s="28"/>
      <c r="N180" s="28"/>
    </row>
    <row r="181" spans="4:14" x14ac:dyDescent="0.45">
      <c r="D181" s="49"/>
      <c r="F181" s="48">
        <f t="shared" si="13"/>
        <v>0</v>
      </c>
      <c r="G181" s="5">
        <f t="shared" si="14"/>
        <v>0</v>
      </c>
      <c r="J181" s="2" t="str">
        <f t="shared" si="15"/>
        <v>합격</v>
      </c>
      <c r="K181" s="30" t="str">
        <f t="shared" si="16"/>
        <v>-</v>
      </c>
      <c r="L181" s="30" t="str">
        <f t="shared" si="17"/>
        <v>-</v>
      </c>
      <c r="M181" s="28"/>
      <c r="N181" s="28"/>
    </row>
    <row r="182" spans="4:14" x14ac:dyDescent="0.45">
      <c r="D182" s="49"/>
      <c r="F182" s="48">
        <f t="shared" si="13"/>
        <v>0</v>
      </c>
      <c r="G182" s="5">
        <f t="shared" si="14"/>
        <v>0</v>
      </c>
      <c r="J182" s="2" t="str">
        <f t="shared" si="15"/>
        <v>합격</v>
      </c>
      <c r="K182" s="30" t="str">
        <f t="shared" si="16"/>
        <v>-</v>
      </c>
      <c r="L182" s="30" t="str">
        <f t="shared" si="17"/>
        <v>-</v>
      </c>
      <c r="M182" s="28"/>
      <c r="N182" s="28"/>
    </row>
    <row r="183" spans="4:14" x14ac:dyDescent="0.45">
      <c r="D183" s="49"/>
      <c r="F183" s="48">
        <f t="shared" si="13"/>
        <v>0</v>
      </c>
      <c r="G183" s="5">
        <f t="shared" si="14"/>
        <v>0</v>
      </c>
      <c r="J183" s="2" t="str">
        <f t="shared" si="15"/>
        <v>합격</v>
      </c>
      <c r="K183" s="30" t="str">
        <f t="shared" si="16"/>
        <v>-</v>
      </c>
      <c r="L183" s="30" t="str">
        <f t="shared" si="17"/>
        <v>-</v>
      </c>
      <c r="M183" s="28"/>
      <c r="N183" s="28"/>
    </row>
    <row r="184" spans="4:14" x14ac:dyDescent="0.45">
      <c r="D184" s="49"/>
      <c r="F184" s="48">
        <f t="shared" si="13"/>
        <v>0</v>
      </c>
      <c r="G184" s="5">
        <f t="shared" si="14"/>
        <v>0</v>
      </c>
      <c r="J184" s="2" t="str">
        <f t="shared" si="15"/>
        <v>합격</v>
      </c>
      <c r="K184" s="30" t="str">
        <f t="shared" si="16"/>
        <v>-</v>
      </c>
      <c r="L184" s="30" t="str">
        <f t="shared" si="17"/>
        <v>-</v>
      </c>
      <c r="M184" s="28"/>
      <c r="N184" s="28"/>
    </row>
    <row r="185" spans="4:14" x14ac:dyDescent="0.45">
      <c r="D185" s="49"/>
      <c r="F185" s="48">
        <f t="shared" si="13"/>
        <v>0</v>
      </c>
      <c r="G185" s="5">
        <f t="shared" si="14"/>
        <v>0</v>
      </c>
      <c r="J185" s="2" t="str">
        <f t="shared" si="15"/>
        <v>합격</v>
      </c>
      <c r="K185" s="30" t="str">
        <f t="shared" si="16"/>
        <v>-</v>
      </c>
      <c r="L185" s="30" t="str">
        <f t="shared" si="17"/>
        <v>-</v>
      </c>
      <c r="M185" s="28"/>
      <c r="N185" s="28"/>
    </row>
    <row r="186" spans="4:14" x14ac:dyDescent="0.45">
      <c r="D186" s="49"/>
      <c r="F186" s="48">
        <f t="shared" si="13"/>
        <v>0</v>
      </c>
      <c r="G186" s="5">
        <f t="shared" si="14"/>
        <v>0</v>
      </c>
      <c r="J186" s="2" t="str">
        <f t="shared" si="15"/>
        <v>합격</v>
      </c>
      <c r="K186" s="30" t="str">
        <f t="shared" si="16"/>
        <v>-</v>
      </c>
      <c r="L186" s="30" t="str">
        <f t="shared" si="17"/>
        <v>-</v>
      </c>
      <c r="M186" s="28"/>
      <c r="N186" s="28"/>
    </row>
    <row r="187" spans="4:14" x14ac:dyDescent="0.45">
      <c r="D187" s="49"/>
      <c r="F187" s="48">
        <f t="shared" si="13"/>
        <v>0</v>
      </c>
      <c r="G187" s="5">
        <f t="shared" si="14"/>
        <v>0</v>
      </c>
      <c r="J187" s="2" t="str">
        <f t="shared" si="15"/>
        <v>합격</v>
      </c>
      <c r="K187" s="30" t="str">
        <f t="shared" si="16"/>
        <v>-</v>
      </c>
      <c r="L187" s="30" t="str">
        <f t="shared" si="17"/>
        <v>-</v>
      </c>
      <c r="M187" s="28"/>
      <c r="N187" s="28"/>
    </row>
    <row r="188" spans="4:14" x14ac:dyDescent="0.45">
      <c r="D188" s="49"/>
      <c r="F188" s="48">
        <f t="shared" si="13"/>
        <v>0</v>
      </c>
      <c r="G188" s="5">
        <f t="shared" si="14"/>
        <v>0</v>
      </c>
      <c r="J188" s="2" t="str">
        <f t="shared" si="15"/>
        <v>합격</v>
      </c>
      <c r="K188" s="30" t="str">
        <f t="shared" si="16"/>
        <v>-</v>
      </c>
      <c r="L188" s="30" t="str">
        <f t="shared" si="17"/>
        <v>-</v>
      </c>
      <c r="M188" s="28"/>
      <c r="N188" s="28"/>
    </row>
    <row r="189" spans="4:14" x14ac:dyDescent="0.45">
      <c r="D189" s="49"/>
      <c r="F189" s="48">
        <f t="shared" si="13"/>
        <v>0</v>
      </c>
      <c r="G189" s="5">
        <f t="shared" si="14"/>
        <v>0</v>
      </c>
      <c r="J189" s="2" t="str">
        <f t="shared" si="15"/>
        <v>합격</v>
      </c>
      <c r="K189" s="30" t="str">
        <f t="shared" si="16"/>
        <v>-</v>
      </c>
      <c r="L189" s="30" t="str">
        <f t="shared" si="17"/>
        <v>-</v>
      </c>
      <c r="M189" s="28"/>
      <c r="N189" s="28"/>
    </row>
    <row r="190" spans="4:14" x14ac:dyDescent="0.45">
      <c r="D190" s="49"/>
      <c r="F190" s="48">
        <f t="shared" si="13"/>
        <v>0</v>
      </c>
      <c r="G190" s="5">
        <f t="shared" si="14"/>
        <v>0</v>
      </c>
      <c r="J190" s="2" t="str">
        <f t="shared" si="15"/>
        <v>합격</v>
      </c>
      <c r="K190" s="30" t="str">
        <f t="shared" si="16"/>
        <v>-</v>
      </c>
      <c r="L190" s="30" t="str">
        <f t="shared" si="17"/>
        <v>-</v>
      </c>
      <c r="M190" s="28"/>
      <c r="N190" s="28"/>
    </row>
    <row r="191" spans="4:14" x14ac:dyDescent="0.45">
      <c r="D191" s="49"/>
      <c r="F191" s="48">
        <f t="shared" si="13"/>
        <v>0</v>
      </c>
      <c r="G191" s="5">
        <f t="shared" si="14"/>
        <v>0</v>
      </c>
      <c r="J191" s="2" t="str">
        <f t="shared" si="15"/>
        <v>합격</v>
      </c>
      <c r="K191" s="30" t="str">
        <f t="shared" si="16"/>
        <v>-</v>
      </c>
      <c r="L191" s="30" t="str">
        <f t="shared" si="17"/>
        <v>-</v>
      </c>
      <c r="M191" s="28"/>
      <c r="N191" s="28"/>
    </row>
    <row r="192" spans="4:14" x14ac:dyDescent="0.45">
      <c r="D192" s="49"/>
      <c r="F192" s="48">
        <f t="shared" si="13"/>
        <v>0</v>
      </c>
      <c r="G192" s="5">
        <f t="shared" si="14"/>
        <v>0</v>
      </c>
      <c r="J192" s="2" t="str">
        <f t="shared" si="15"/>
        <v>합격</v>
      </c>
      <c r="K192" s="30" t="str">
        <f t="shared" si="16"/>
        <v>-</v>
      </c>
      <c r="L192" s="30" t="str">
        <f t="shared" si="17"/>
        <v>-</v>
      </c>
      <c r="M192" s="28"/>
      <c r="N192" s="28"/>
    </row>
    <row r="193" spans="4:14" x14ac:dyDescent="0.45">
      <c r="D193" s="49"/>
      <c r="F193" s="48">
        <f t="shared" si="13"/>
        <v>0</v>
      </c>
      <c r="G193" s="5">
        <f t="shared" si="14"/>
        <v>0</v>
      </c>
      <c r="J193" s="2" t="str">
        <f t="shared" si="15"/>
        <v>합격</v>
      </c>
      <c r="K193" s="30" t="str">
        <f t="shared" si="16"/>
        <v>-</v>
      </c>
      <c r="L193" s="30" t="str">
        <f t="shared" si="17"/>
        <v>-</v>
      </c>
      <c r="M193" s="28"/>
      <c r="N193" s="28"/>
    </row>
    <row r="194" spans="4:14" x14ac:dyDescent="0.45">
      <c r="D194" s="49"/>
      <c r="F194" s="48">
        <f t="shared" si="13"/>
        <v>0</v>
      </c>
      <c r="G194" s="5">
        <f t="shared" si="14"/>
        <v>0</v>
      </c>
      <c r="J194" s="2" t="str">
        <f t="shared" si="15"/>
        <v>합격</v>
      </c>
      <c r="K194" s="30" t="str">
        <f t="shared" si="16"/>
        <v>-</v>
      </c>
      <c r="L194" s="30" t="str">
        <f t="shared" si="17"/>
        <v>-</v>
      </c>
      <c r="M194" s="28"/>
      <c r="N194" s="28"/>
    </row>
    <row r="195" spans="4:14" x14ac:dyDescent="0.45">
      <c r="D195" s="49"/>
      <c r="F195" s="48">
        <f t="shared" si="13"/>
        <v>0</v>
      </c>
      <c r="G195" s="5">
        <f t="shared" si="14"/>
        <v>0</v>
      </c>
      <c r="J195" s="2" t="str">
        <f t="shared" si="15"/>
        <v>합격</v>
      </c>
      <c r="K195" s="30" t="str">
        <f t="shared" si="16"/>
        <v>-</v>
      </c>
      <c r="L195" s="30" t="str">
        <f t="shared" si="17"/>
        <v>-</v>
      </c>
      <c r="M195" s="28"/>
      <c r="N195" s="28"/>
    </row>
    <row r="196" spans="4:14" x14ac:dyDescent="0.45">
      <c r="D196" s="49"/>
      <c r="F196" s="48">
        <f t="shared" si="13"/>
        <v>0</v>
      </c>
      <c r="G196" s="5">
        <f t="shared" si="14"/>
        <v>0</v>
      </c>
      <c r="J196" s="2" t="str">
        <f t="shared" si="15"/>
        <v>합격</v>
      </c>
      <c r="K196" s="30" t="str">
        <f t="shared" si="16"/>
        <v>-</v>
      </c>
      <c r="L196" s="30" t="str">
        <f t="shared" si="17"/>
        <v>-</v>
      </c>
      <c r="M196" s="28"/>
      <c r="N196" s="28"/>
    </row>
    <row r="197" spans="4:14" x14ac:dyDescent="0.45">
      <c r="D197" s="49"/>
      <c r="F197" s="48">
        <f t="shared" si="13"/>
        <v>0</v>
      </c>
      <c r="G197" s="5">
        <f t="shared" si="14"/>
        <v>0</v>
      </c>
      <c r="J197" s="2" t="str">
        <f t="shared" si="15"/>
        <v>합격</v>
      </c>
      <c r="K197" s="30" t="str">
        <f t="shared" si="16"/>
        <v>-</v>
      </c>
      <c r="L197" s="30" t="str">
        <f t="shared" si="17"/>
        <v>-</v>
      </c>
      <c r="M197" s="28"/>
      <c r="N197" s="28"/>
    </row>
    <row r="198" spans="4:14" x14ac:dyDescent="0.45">
      <c r="D198" s="49"/>
      <c r="F198" s="48">
        <f t="shared" si="13"/>
        <v>0</v>
      </c>
      <c r="G198" s="5">
        <f t="shared" si="14"/>
        <v>0</v>
      </c>
      <c r="J198" s="2" t="str">
        <f t="shared" si="15"/>
        <v>합격</v>
      </c>
      <c r="K198" s="30" t="str">
        <f t="shared" si="16"/>
        <v>-</v>
      </c>
      <c r="L198" s="30" t="str">
        <f t="shared" si="17"/>
        <v>-</v>
      </c>
      <c r="M198" s="28"/>
      <c r="N198" s="28"/>
    </row>
    <row r="199" spans="4:14" x14ac:dyDescent="0.45">
      <c r="D199" s="49"/>
      <c r="F199" s="48">
        <f t="shared" si="13"/>
        <v>0</v>
      </c>
      <c r="G199" s="5">
        <f t="shared" si="14"/>
        <v>0</v>
      </c>
      <c r="J199" s="2" t="str">
        <f t="shared" si="15"/>
        <v>합격</v>
      </c>
      <c r="K199" s="30" t="str">
        <f t="shared" si="16"/>
        <v>-</v>
      </c>
      <c r="L199" s="30" t="str">
        <f t="shared" si="17"/>
        <v>-</v>
      </c>
      <c r="M199" s="28"/>
      <c r="N199" s="28"/>
    </row>
    <row r="200" spans="4:14" x14ac:dyDescent="0.45">
      <c r="D200" s="49"/>
      <c r="F200" s="48">
        <f t="shared" si="13"/>
        <v>0</v>
      </c>
      <c r="G200" s="5">
        <f t="shared" si="14"/>
        <v>0</v>
      </c>
      <c r="J200" s="2" t="str">
        <f t="shared" si="15"/>
        <v>합격</v>
      </c>
      <c r="K200" s="30" t="str">
        <f t="shared" si="16"/>
        <v>-</v>
      </c>
      <c r="L200" s="30" t="str">
        <f t="shared" si="17"/>
        <v>-</v>
      </c>
      <c r="M200" s="28"/>
      <c r="N200" s="28"/>
    </row>
    <row r="201" spans="4:14" x14ac:dyDescent="0.45">
      <c r="D201" s="49"/>
      <c r="F201" s="48">
        <f t="shared" ref="F201:F213" si="18">E201*60*0.001</f>
        <v>0</v>
      </c>
      <c r="G201" s="5">
        <f t="shared" ref="G201:G213" si="19">IFERROR(POWER((B201/C201)*F201^3,1/3),0)</f>
        <v>0</v>
      </c>
      <c r="J201" s="2" t="str">
        <f t="shared" si="15"/>
        <v>합격</v>
      </c>
      <c r="K201" s="30" t="str">
        <f t="shared" si="16"/>
        <v>-</v>
      </c>
      <c r="L201" s="30" t="str">
        <f t="shared" si="17"/>
        <v>-</v>
      </c>
      <c r="M201" s="28"/>
      <c r="N201" s="28"/>
    </row>
    <row r="202" spans="4:14" x14ac:dyDescent="0.45">
      <c r="D202" s="49"/>
      <c r="F202" s="48">
        <f t="shared" si="18"/>
        <v>0</v>
      </c>
      <c r="G202" s="5">
        <f t="shared" si="19"/>
        <v>0</v>
      </c>
      <c r="J202" s="2" t="str">
        <f t="shared" si="15"/>
        <v>합격</v>
      </c>
      <c r="K202" s="30" t="str">
        <f t="shared" si="16"/>
        <v>-</v>
      </c>
      <c r="L202" s="30" t="str">
        <f t="shared" si="17"/>
        <v>-</v>
      </c>
      <c r="M202" s="28"/>
      <c r="N202" s="28"/>
    </row>
    <row r="203" spans="4:14" x14ac:dyDescent="0.45">
      <c r="D203" s="49"/>
      <c r="F203" s="48">
        <f t="shared" si="18"/>
        <v>0</v>
      </c>
      <c r="G203" s="5">
        <f t="shared" si="19"/>
        <v>0</v>
      </c>
      <c r="J203" s="2" t="str">
        <f t="shared" si="15"/>
        <v>합격</v>
      </c>
      <c r="K203" s="30" t="str">
        <f t="shared" si="16"/>
        <v>-</v>
      </c>
      <c r="L203" s="30" t="str">
        <f t="shared" si="17"/>
        <v>-</v>
      </c>
      <c r="M203" s="28"/>
      <c r="N203" s="28"/>
    </row>
    <row r="204" spans="4:14" x14ac:dyDescent="0.45">
      <c r="D204" s="49"/>
      <c r="F204" s="48">
        <f t="shared" si="18"/>
        <v>0</v>
      </c>
      <c r="G204" s="5">
        <f t="shared" si="19"/>
        <v>0</v>
      </c>
      <c r="J204" s="2" t="str">
        <f t="shared" si="15"/>
        <v>합격</v>
      </c>
      <c r="K204" s="30" t="str">
        <f t="shared" si="16"/>
        <v>-</v>
      </c>
      <c r="L204" s="30" t="str">
        <f t="shared" si="17"/>
        <v>-</v>
      </c>
      <c r="M204" s="28"/>
      <c r="N204" s="28"/>
    </row>
    <row r="205" spans="4:14" x14ac:dyDescent="0.45">
      <c r="D205" s="49"/>
      <c r="F205" s="48">
        <f t="shared" si="18"/>
        <v>0</v>
      </c>
      <c r="G205" s="5">
        <f t="shared" si="19"/>
        <v>0</v>
      </c>
      <c r="J205" s="2" t="str">
        <f t="shared" si="15"/>
        <v>합격</v>
      </c>
      <c r="K205" s="30" t="str">
        <f t="shared" si="16"/>
        <v>-</v>
      </c>
      <c r="L205" s="30" t="str">
        <f t="shared" si="17"/>
        <v>-</v>
      </c>
      <c r="M205" s="28"/>
      <c r="N205" s="28"/>
    </row>
    <row r="206" spans="4:14" x14ac:dyDescent="0.45">
      <c r="D206" s="49"/>
      <c r="F206" s="48">
        <f t="shared" si="18"/>
        <v>0</v>
      </c>
      <c r="G206" s="5">
        <f t="shared" si="19"/>
        <v>0</v>
      </c>
      <c r="J206" s="2" t="str">
        <f t="shared" si="15"/>
        <v>합격</v>
      </c>
      <c r="K206" s="30" t="str">
        <f t="shared" si="16"/>
        <v>-</v>
      </c>
      <c r="L206" s="30" t="str">
        <f t="shared" si="17"/>
        <v>-</v>
      </c>
      <c r="M206" s="28"/>
      <c r="N206" s="28"/>
    </row>
    <row r="207" spans="4:14" x14ac:dyDescent="0.45">
      <c r="D207" s="49"/>
      <c r="F207" s="48">
        <f t="shared" si="18"/>
        <v>0</v>
      </c>
      <c r="G207" s="5">
        <f t="shared" si="19"/>
        <v>0</v>
      </c>
      <c r="J207" s="2" t="str">
        <f t="shared" si="15"/>
        <v>합격</v>
      </c>
      <c r="K207" s="30" t="str">
        <f t="shared" si="16"/>
        <v>-</v>
      </c>
      <c r="L207" s="30" t="str">
        <f t="shared" si="17"/>
        <v>-</v>
      </c>
      <c r="M207" s="28"/>
      <c r="N207" s="28"/>
    </row>
    <row r="208" spans="4:14" x14ac:dyDescent="0.45">
      <c r="D208" s="49"/>
      <c r="F208" s="48">
        <f t="shared" si="18"/>
        <v>0</v>
      </c>
      <c r="G208" s="5">
        <f t="shared" si="19"/>
        <v>0</v>
      </c>
      <c r="J208" s="2" t="str">
        <f t="shared" si="15"/>
        <v>합격</v>
      </c>
      <c r="K208" s="30" t="str">
        <f t="shared" si="16"/>
        <v>-</v>
      </c>
      <c r="L208" s="30" t="str">
        <f t="shared" si="17"/>
        <v>-</v>
      </c>
      <c r="M208" s="28"/>
      <c r="N208" s="28"/>
    </row>
    <row r="209" spans="4:14" x14ac:dyDescent="0.45">
      <c r="D209" s="49"/>
      <c r="F209" s="48">
        <f t="shared" si="18"/>
        <v>0</v>
      </c>
      <c r="G209" s="5">
        <f t="shared" si="19"/>
        <v>0</v>
      </c>
      <c r="J209" s="2" t="str">
        <f t="shared" si="15"/>
        <v>합격</v>
      </c>
      <c r="K209" s="30" t="str">
        <f t="shared" si="16"/>
        <v>-</v>
      </c>
      <c r="L209" s="30" t="str">
        <f t="shared" si="17"/>
        <v>-</v>
      </c>
      <c r="M209" s="28"/>
      <c r="N209" s="28"/>
    </row>
    <row r="210" spans="4:14" x14ac:dyDescent="0.45">
      <c r="D210" s="49"/>
      <c r="F210" s="48">
        <f t="shared" si="18"/>
        <v>0</v>
      </c>
      <c r="G210" s="5">
        <f t="shared" si="19"/>
        <v>0</v>
      </c>
      <c r="J210" s="2" t="str">
        <f t="shared" si="15"/>
        <v>합격</v>
      </c>
      <c r="K210" s="30" t="str">
        <f t="shared" si="16"/>
        <v>-</v>
      </c>
      <c r="L210" s="30" t="str">
        <f t="shared" si="17"/>
        <v>-</v>
      </c>
      <c r="M210" s="28"/>
      <c r="N210" s="28"/>
    </row>
    <row r="211" spans="4:14" x14ac:dyDescent="0.45">
      <c r="D211" s="49"/>
      <c r="F211" s="48">
        <f t="shared" si="18"/>
        <v>0</v>
      </c>
      <c r="G211" s="5">
        <f t="shared" si="19"/>
        <v>0</v>
      </c>
      <c r="J211" s="2" t="str">
        <f t="shared" si="15"/>
        <v>합격</v>
      </c>
      <c r="K211" s="30" t="str">
        <f t="shared" si="16"/>
        <v>-</v>
      </c>
      <c r="L211" s="30" t="str">
        <f t="shared" si="17"/>
        <v>-</v>
      </c>
      <c r="M211" s="28"/>
      <c r="N211" s="28"/>
    </row>
    <row r="212" spans="4:14" x14ac:dyDescent="0.45">
      <c r="D212" s="49"/>
      <c r="F212" s="48">
        <f t="shared" si="18"/>
        <v>0</v>
      </c>
      <c r="G212" s="5">
        <f t="shared" si="19"/>
        <v>0</v>
      </c>
      <c r="J212" s="2" t="str">
        <f t="shared" si="15"/>
        <v>합격</v>
      </c>
      <c r="K212" s="30" t="str">
        <f t="shared" si="16"/>
        <v>-</v>
      </c>
      <c r="L212" s="30" t="str">
        <f t="shared" si="17"/>
        <v>-</v>
      </c>
      <c r="M212" s="28"/>
      <c r="N212" s="28"/>
    </row>
    <row r="213" spans="4:14" x14ac:dyDescent="0.45">
      <c r="D213" s="49"/>
      <c r="F213" s="48">
        <f t="shared" si="18"/>
        <v>0</v>
      </c>
      <c r="G213" s="5">
        <f t="shared" si="19"/>
        <v>0</v>
      </c>
      <c r="J213" s="2" t="str">
        <f t="shared" ref="J213" si="20">IF(OR(D213&lt;G213*0.9,D213&gt;G213*1.1),"불합격","합격")</f>
        <v>합격</v>
      </c>
      <c r="K213" s="30" t="str">
        <f t="shared" ref="K213" si="21">IFERROR(D213/G213,"-")</f>
        <v>-</v>
      </c>
      <c r="L213" s="30" t="str">
        <f t="shared" si="17"/>
        <v>-</v>
      </c>
      <c r="M213" s="28"/>
      <c r="N213" s="28"/>
    </row>
    <row r="214" spans="4:14" x14ac:dyDescent="0.45">
      <c r="G214" s="5"/>
      <c r="L214" s="30" t="str">
        <f t="shared" si="17"/>
        <v>-</v>
      </c>
    </row>
    <row r="215" spans="4:14" x14ac:dyDescent="0.45">
      <c r="G215" s="5"/>
      <c r="L215" s="30" t="str">
        <f t="shared" si="17"/>
        <v>-</v>
      </c>
    </row>
    <row r="216" spans="4:14" x14ac:dyDescent="0.45">
      <c r="L216" s="30" t="str">
        <f t="shared" si="17"/>
        <v>-</v>
      </c>
    </row>
    <row r="217" spans="4:14" x14ac:dyDescent="0.45">
      <c r="L217" s="30" t="str">
        <f t="shared" si="17"/>
        <v>-</v>
      </c>
    </row>
    <row r="218" spans="4:14" x14ac:dyDescent="0.45">
      <c r="L218" s="30" t="str">
        <f t="shared" ref="L218:L281" si="22">IFERROR(G218/F218,"-")</f>
        <v>-</v>
      </c>
    </row>
    <row r="219" spans="4:14" x14ac:dyDescent="0.45">
      <c r="L219" s="30" t="str">
        <f t="shared" si="22"/>
        <v>-</v>
      </c>
    </row>
    <row r="220" spans="4:14" x14ac:dyDescent="0.45">
      <c r="L220" s="30" t="str">
        <f t="shared" si="22"/>
        <v>-</v>
      </c>
    </row>
    <row r="221" spans="4:14" x14ac:dyDescent="0.45">
      <c r="L221" s="30" t="str">
        <f t="shared" si="22"/>
        <v>-</v>
      </c>
    </row>
    <row r="222" spans="4:14" x14ac:dyDescent="0.45">
      <c r="L222" s="30" t="str">
        <f t="shared" si="22"/>
        <v>-</v>
      </c>
    </row>
    <row r="223" spans="4:14" x14ac:dyDescent="0.45">
      <c r="L223" s="30" t="str">
        <f t="shared" si="22"/>
        <v>-</v>
      </c>
    </row>
    <row r="224" spans="4:14" x14ac:dyDescent="0.45">
      <c r="L224" s="30" t="str">
        <f t="shared" si="22"/>
        <v>-</v>
      </c>
    </row>
    <row r="225" spans="12:12" x14ac:dyDescent="0.45">
      <c r="L225" s="30" t="str">
        <f t="shared" si="22"/>
        <v>-</v>
      </c>
    </row>
    <row r="226" spans="12:12" x14ac:dyDescent="0.45">
      <c r="L226" s="30" t="str">
        <f t="shared" si="22"/>
        <v>-</v>
      </c>
    </row>
    <row r="227" spans="12:12" x14ac:dyDescent="0.45">
      <c r="L227" s="30" t="str">
        <f t="shared" si="22"/>
        <v>-</v>
      </c>
    </row>
    <row r="228" spans="12:12" x14ac:dyDescent="0.45">
      <c r="L228" s="30" t="str">
        <f t="shared" si="22"/>
        <v>-</v>
      </c>
    </row>
    <row r="229" spans="12:12" x14ac:dyDescent="0.45">
      <c r="L229" s="30" t="str">
        <f t="shared" si="22"/>
        <v>-</v>
      </c>
    </row>
    <row r="230" spans="12:12" x14ac:dyDescent="0.45">
      <c r="L230" s="30" t="str">
        <f t="shared" si="22"/>
        <v>-</v>
      </c>
    </row>
    <row r="231" spans="12:12" x14ac:dyDescent="0.45">
      <c r="L231" s="30" t="str">
        <f t="shared" si="22"/>
        <v>-</v>
      </c>
    </row>
    <row r="232" spans="12:12" x14ac:dyDescent="0.45">
      <c r="L232" s="30" t="str">
        <f t="shared" si="22"/>
        <v>-</v>
      </c>
    </row>
    <row r="233" spans="12:12" x14ac:dyDescent="0.45">
      <c r="L233" s="30" t="str">
        <f t="shared" si="22"/>
        <v>-</v>
      </c>
    </row>
    <row r="234" spans="12:12" x14ac:dyDescent="0.45">
      <c r="L234" s="30" t="str">
        <f t="shared" si="22"/>
        <v>-</v>
      </c>
    </row>
    <row r="235" spans="12:12" x14ac:dyDescent="0.45">
      <c r="L235" s="30" t="str">
        <f t="shared" si="22"/>
        <v>-</v>
      </c>
    </row>
    <row r="236" spans="12:12" x14ac:dyDescent="0.45">
      <c r="L236" s="30" t="str">
        <f t="shared" si="22"/>
        <v>-</v>
      </c>
    </row>
    <row r="237" spans="12:12" x14ac:dyDescent="0.45">
      <c r="L237" s="30" t="str">
        <f t="shared" si="22"/>
        <v>-</v>
      </c>
    </row>
    <row r="238" spans="12:12" x14ac:dyDescent="0.45">
      <c r="L238" s="30" t="str">
        <f t="shared" si="22"/>
        <v>-</v>
      </c>
    </row>
    <row r="239" spans="12:12" x14ac:dyDescent="0.45">
      <c r="L239" s="30" t="str">
        <f t="shared" si="22"/>
        <v>-</v>
      </c>
    </row>
    <row r="240" spans="12:12" x14ac:dyDescent="0.45">
      <c r="L240" s="30" t="str">
        <f t="shared" si="22"/>
        <v>-</v>
      </c>
    </row>
    <row r="241" spans="12:12" x14ac:dyDescent="0.45">
      <c r="L241" s="30" t="str">
        <f t="shared" si="22"/>
        <v>-</v>
      </c>
    </row>
    <row r="242" spans="12:12" x14ac:dyDescent="0.45">
      <c r="L242" s="30" t="str">
        <f t="shared" si="22"/>
        <v>-</v>
      </c>
    </row>
    <row r="243" spans="12:12" x14ac:dyDescent="0.45">
      <c r="L243" s="30" t="str">
        <f t="shared" si="22"/>
        <v>-</v>
      </c>
    </row>
    <row r="244" spans="12:12" x14ac:dyDescent="0.45">
      <c r="L244" s="30" t="str">
        <f t="shared" si="22"/>
        <v>-</v>
      </c>
    </row>
    <row r="245" spans="12:12" x14ac:dyDescent="0.45">
      <c r="L245" s="30" t="str">
        <f t="shared" si="22"/>
        <v>-</v>
      </c>
    </row>
    <row r="246" spans="12:12" x14ac:dyDescent="0.45">
      <c r="L246" s="30" t="str">
        <f t="shared" si="22"/>
        <v>-</v>
      </c>
    </row>
    <row r="247" spans="12:12" x14ac:dyDescent="0.45">
      <c r="L247" s="30" t="str">
        <f t="shared" si="22"/>
        <v>-</v>
      </c>
    </row>
    <row r="248" spans="12:12" x14ac:dyDescent="0.45">
      <c r="L248" s="30" t="str">
        <f t="shared" si="22"/>
        <v>-</v>
      </c>
    </row>
    <row r="249" spans="12:12" x14ac:dyDescent="0.45">
      <c r="L249" s="30" t="str">
        <f t="shared" si="22"/>
        <v>-</v>
      </c>
    </row>
    <row r="250" spans="12:12" x14ac:dyDescent="0.45">
      <c r="L250" s="30" t="str">
        <f t="shared" si="22"/>
        <v>-</v>
      </c>
    </row>
    <row r="251" spans="12:12" x14ac:dyDescent="0.45">
      <c r="L251" s="30" t="str">
        <f t="shared" si="22"/>
        <v>-</v>
      </c>
    </row>
    <row r="252" spans="12:12" x14ac:dyDescent="0.45">
      <c r="L252" s="30" t="str">
        <f t="shared" si="22"/>
        <v>-</v>
      </c>
    </row>
    <row r="253" spans="12:12" x14ac:dyDescent="0.45">
      <c r="L253" s="30" t="str">
        <f t="shared" si="22"/>
        <v>-</v>
      </c>
    </row>
    <row r="254" spans="12:12" x14ac:dyDescent="0.45">
      <c r="L254" s="30" t="str">
        <f t="shared" si="22"/>
        <v>-</v>
      </c>
    </row>
    <row r="255" spans="12:12" x14ac:dyDescent="0.45">
      <c r="L255" s="30" t="str">
        <f t="shared" si="22"/>
        <v>-</v>
      </c>
    </row>
    <row r="256" spans="12:12" x14ac:dyDescent="0.45">
      <c r="L256" s="30" t="str">
        <f t="shared" si="22"/>
        <v>-</v>
      </c>
    </row>
    <row r="257" spans="12:12" x14ac:dyDescent="0.45">
      <c r="L257" s="30" t="str">
        <f t="shared" si="22"/>
        <v>-</v>
      </c>
    </row>
    <row r="258" spans="12:12" x14ac:dyDescent="0.45">
      <c r="L258" s="30" t="str">
        <f t="shared" si="22"/>
        <v>-</v>
      </c>
    </row>
    <row r="259" spans="12:12" x14ac:dyDescent="0.45">
      <c r="L259" s="30" t="str">
        <f t="shared" si="22"/>
        <v>-</v>
      </c>
    </row>
    <row r="260" spans="12:12" x14ac:dyDescent="0.45">
      <c r="L260" s="30" t="str">
        <f t="shared" si="22"/>
        <v>-</v>
      </c>
    </row>
    <row r="261" spans="12:12" x14ac:dyDescent="0.45">
      <c r="L261" s="30" t="str">
        <f t="shared" si="22"/>
        <v>-</v>
      </c>
    </row>
    <row r="262" spans="12:12" x14ac:dyDescent="0.45">
      <c r="L262" s="30" t="str">
        <f t="shared" si="22"/>
        <v>-</v>
      </c>
    </row>
    <row r="263" spans="12:12" x14ac:dyDescent="0.45">
      <c r="L263" s="30" t="str">
        <f t="shared" si="22"/>
        <v>-</v>
      </c>
    </row>
    <row r="264" spans="12:12" x14ac:dyDescent="0.45">
      <c r="L264" s="30" t="str">
        <f t="shared" si="22"/>
        <v>-</v>
      </c>
    </row>
    <row r="265" spans="12:12" x14ac:dyDescent="0.45">
      <c r="L265" s="30" t="str">
        <f t="shared" si="22"/>
        <v>-</v>
      </c>
    </row>
    <row r="266" spans="12:12" x14ac:dyDescent="0.45">
      <c r="L266" s="30" t="str">
        <f t="shared" si="22"/>
        <v>-</v>
      </c>
    </row>
    <row r="267" spans="12:12" x14ac:dyDescent="0.45">
      <c r="L267" s="30" t="str">
        <f t="shared" si="22"/>
        <v>-</v>
      </c>
    </row>
    <row r="268" spans="12:12" x14ac:dyDescent="0.45">
      <c r="L268" s="30" t="str">
        <f t="shared" si="22"/>
        <v>-</v>
      </c>
    </row>
    <row r="269" spans="12:12" x14ac:dyDescent="0.45">
      <c r="L269" s="30" t="str">
        <f t="shared" si="22"/>
        <v>-</v>
      </c>
    </row>
    <row r="270" spans="12:12" x14ac:dyDescent="0.45">
      <c r="L270" s="30" t="str">
        <f t="shared" si="22"/>
        <v>-</v>
      </c>
    </row>
    <row r="271" spans="12:12" x14ac:dyDescent="0.45">
      <c r="L271" s="30" t="str">
        <f t="shared" si="22"/>
        <v>-</v>
      </c>
    </row>
    <row r="272" spans="12:12" x14ac:dyDescent="0.45">
      <c r="L272" s="30" t="str">
        <f t="shared" si="22"/>
        <v>-</v>
      </c>
    </row>
    <row r="273" spans="12:12" x14ac:dyDescent="0.45">
      <c r="L273" s="30" t="str">
        <f t="shared" si="22"/>
        <v>-</v>
      </c>
    </row>
    <row r="274" spans="12:12" x14ac:dyDescent="0.45">
      <c r="L274" s="30" t="str">
        <f t="shared" si="22"/>
        <v>-</v>
      </c>
    </row>
    <row r="275" spans="12:12" x14ac:dyDescent="0.45">
      <c r="L275" s="30" t="str">
        <f t="shared" si="22"/>
        <v>-</v>
      </c>
    </row>
    <row r="276" spans="12:12" x14ac:dyDescent="0.45">
      <c r="L276" s="30" t="str">
        <f t="shared" si="22"/>
        <v>-</v>
      </c>
    </row>
    <row r="277" spans="12:12" x14ac:dyDescent="0.45">
      <c r="L277" s="30" t="str">
        <f t="shared" si="22"/>
        <v>-</v>
      </c>
    </row>
    <row r="278" spans="12:12" x14ac:dyDescent="0.45">
      <c r="L278" s="30" t="str">
        <f t="shared" si="22"/>
        <v>-</v>
      </c>
    </row>
    <row r="279" spans="12:12" x14ac:dyDescent="0.45">
      <c r="L279" s="30" t="str">
        <f t="shared" si="22"/>
        <v>-</v>
      </c>
    </row>
    <row r="280" spans="12:12" x14ac:dyDescent="0.45">
      <c r="L280" s="30" t="str">
        <f t="shared" si="22"/>
        <v>-</v>
      </c>
    </row>
    <row r="281" spans="12:12" x14ac:dyDescent="0.45">
      <c r="L281" s="30" t="str">
        <f t="shared" si="22"/>
        <v>-</v>
      </c>
    </row>
    <row r="282" spans="12:12" x14ac:dyDescent="0.45">
      <c r="L282" s="30" t="str">
        <f t="shared" ref="L282:L345" si="23">IFERROR(G282/F282,"-")</f>
        <v>-</v>
      </c>
    </row>
    <row r="283" spans="12:12" x14ac:dyDescent="0.45">
      <c r="L283" s="30" t="str">
        <f t="shared" si="23"/>
        <v>-</v>
      </c>
    </row>
    <row r="284" spans="12:12" x14ac:dyDescent="0.45">
      <c r="L284" s="30" t="str">
        <f t="shared" si="23"/>
        <v>-</v>
      </c>
    </row>
    <row r="285" spans="12:12" x14ac:dyDescent="0.45">
      <c r="L285" s="30" t="str">
        <f t="shared" si="23"/>
        <v>-</v>
      </c>
    </row>
    <row r="286" spans="12:12" x14ac:dyDescent="0.45">
      <c r="L286" s="30" t="str">
        <f t="shared" si="23"/>
        <v>-</v>
      </c>
    </row>
    <row r="287" spans="12:12" x14ac:dyDescent="0.45">
      <c r="L287" s="30" t="str">
        <f t="shared" si="23"/>
        <v>-</v>
      </c>
    </row>
    <row r="288" spans="12:12" x14ac:dyDescent="0.45">
      <c r="L288" s="30" t="str">
        <f t="shared" si="23"/>
        <v>-</v>
      </c>
    </row>
    <row r="289" spans="12:12" x14ac:dyDescent="0.45">
      <c r="L289" s="30" t="str">
        <f t="shared" si="23"/>
        <v>-</v>
      </c>
    </row>
    <row r="290" spans="12:12" x14ac:dyDescent="0.45">
      <c r="L290" s="30" t="str">
        <f t="shared" si="23"/>
        <v>-</v>
      </c>
    </row>
    <row r="291" spans="12:12" x14ac:dyDescent="0.45">
      <c r="L291" s="30" t="str">
        <f t="shared" si="23"/>
        <v>-</v>
      </c>
    </row>
    <row r="292" spans="12:12" x14ac:dyDescent="0.45">
      <c r="L292" s="30" t="str">
        <f t="shared" si="23"/>
        <v>-</v>
      </c>
    </row>
    <row r="293" spans="12:12" x14ac:dyDescent="0.45">
      <c r="L293" s="30" t="str">
        <f t="shared" si="23"/>
        <v>-</v>
      </c>
    </row>
    <row r="294" spans="12:12" x14ac:dyDescent="0.45">
      <c r="L294" s="30" t="str">
        <f t="shared" si="23"/>
        <v>-</v>
      </c>
    </row>
    <row r="295" spans="12:12" x14ac:dyDescent="0.45">
      <c r="L295" s="30" t="str">
        <f t="shared" si="23"/>
        <v>-</v>
      </c>
    </row>
    <row r="296" spans="12:12" x14ac:dyDescent="0.45">
      <c r="L296" s="30" t="str">
        <f t="shared" si="23"/>
        <v>-</v>
      </c>
    </row>
    <row r="297" spans="12:12" x14ac:dyDescent="0.45">
      <c r="L297" s="30" t="str">
        <f t="shared" si="23"/>
        <v>-</v>
      </c>
    </row>
    <row r="298" spans="12:12" x14ac:dyDescent="0.45">
      <c r="L298" s="30" t="str">
        <f t="shared" si="23"/>
        <v>-</v>
      </c>
    </row>
    <row r="299" spans="12:12" x14ac:dyDescent="0.45">
      <c r="L299" s="30" t="str">
        <f t="shared" si="23"/>
        <v>-</v>
      </c>
    </row>
    <row r="300" spans="12:12" x14ac:dyDescent="0.45">
      <c r="L300" s="30" t="str">
        <f t="shared" si="23"/>
        <v>-</v>
      </c>
    </row>
    <row r="301" spans="12:12" x14ac:dyDescent="0.45">
      <c r="L301" s="30" t="str">
        <f t="shared" si="23"/>
        <v>-</v>
      </c>
    </row>
    <row r="302" spans="12:12" x14ac:dyDescent="0.45">
      <c r="L302" s="30" t="str">
        <f t="shared" si="23"/>
        <v>-</v>
      </c>
    </row>
    <row r="303" spans="12:12" x14ac:dyDescent="0.45">
      <c r="L303" s="30" t="str">
        <f t="shared" si="23"/>
        <v>-</v>
      </c>
    </row>
    <row r="304" spans="12:12" x14ac:dyDescent="0.45">
      <c r="L304" s="30" t="str">
        <f t="shared" si="23"/>
        <v>-</v>
      </c>
    </row>
    <row r="305" spans="12:12" x14ac:dyDescent="0.45">
      <c r="L305" s="30" t="str">
        <f t="shared" si="23"/>
        <v>-</v>
      </c>
    </row>
    <row r="306" spans="12:12" x14ac:dyDescent="0.45">
      <c r="L306" s="30" t="str">
        <f t="shared" si="23"/>
        <v>-</v>
      </c>
    </row>
    <row r="307" spans="12:12" x14ac:dyDescent="0.45">
      <c r="L307" s="30" t="str">
        <f t="shared" si="23"/>
        <v>-</v>
      </c>
    </row>
    <row r="308" spans="12:12" x14ac:dyDescent="0.45">
      <c r="L308" s="30" t="str">
        <f t="shared" si="23"/>
        <v>-</v>
      </c>
    </row>
    <row r="309" spans="12:12" x14ac:dyDescent="0.45">
      <c r="L309" s="30" t="str">
        <f t="shared" si="23"/>
        <v>-</v>
      </c>
    </row>
    <row r="310" spans="12:12" x14ac:dyDescent="0.45">
      <c r="L310" s="30" t="str">
        <f t="shared" si="23"/>
        <v>-</v>
      </c>
    </row>
    <row r="311" spans="12:12" x14ac:dyDescent="0.45">
      <c r="L311" s="30" t="str">
        <f t="shared" si="23"/>
        <v>-</v>
      </c>
    </row>
    <row r="312" spans="12:12" x14ac:dyDescent="0.45">
      <c r="L312" s="30" t="str">
        <f t="shared" si="23"/>
        <v>-</v>
      </c>
    </row>
    <row r="313" spans="12:12" x14ac:dyDescent="0.45">
      <c r="L313" s="30" t="str">
        <f t="shared" si="23"/>
        <v>-</v>
      </c>
    </row>
    <row r="314" spans="12:12" x14ac:dyDescent="0.45">
      <c r="L314" s="30" t="str">
        <f t="shared" si="23"/>
        <v>-</v>
      </c>
    </row>
    <row r="315" spans="12:12" x14ac:dyDescent="0.45">
      <c r="L315" s="30" t="str">
        <f t="shared" si="23"/>
        <v>-</v>
      </c>
    </row>
    <row r="316" spans="12:12" x14ac:dyDescent="0.45">
      <c r="L316" s="30" t="str">
        <f t="shared" si="23"/>
        <v>-</v>
      </c>
    </row>
    <row r="317" spans="12:12" x14ac:dyDescent="0.45">
      <c r="L317" s="30" t="str">
        <f t="shared" si="23"/>
        <v>-</v>
      </c>
    </row>
    <row r="318" spans="12:12" x14ac:dyDescent="0.45">
      <c r="L318" s="30" t="str">
        <f t="shared" si="23"/>
        <v>-</v>
      </c>
    </row>
    <row r="319" spans="12:12" x14ac:dyDescent="0.45">
      <c r="L319" s="30" t="str">
        <f t="shared" si="23"/>
        <v>-</v>
      </c>
    </row>
    <row r="320" spans="12:12" x14ac:dyDescent="0.45">
      <c r="L320" s="30" t="str">
        <f t="shared" si="23"/>
        <v>-</v>
      </c>
    </row>
    <row r="321" spans="12:12" x14ac:dyDescent="0.45">
      <c r="L321" s="30" t="str">
        <f t="shared" si="23"/>
        <v>-</v>
      </c>
    </row>
    <row r="322" spans="12:12" x14ac:dyDescent="0.45">
      <c r="L322" s="30" t="str">
        <f t="shared" si="23"/>
        <v>-</v>
      </c>
    </row>
    <row r="323" spans="12:12" x14ac:dyDescent="0.45">
      <c r="L323" s="30" t="str">
        <f t="shared" si="23"/>
        <v>-</v>
      </c>
    </row>
    <row r="324" spans="12:12" x14ac:dyDescent="0.45">
      <c r="L324" s="30" t="str">
        <f t="shared" si="23"/>
        <v>-</v>
      </c>
    </row>
    <row r="325" spans="12:12" x14ac:dyDescent="0.45">
      <c r="L325" s="30" t="str">
        <f t="shared" si="23"/>
        <v>-</v>
      </c>
    </row>
    <row r="326" spans="12:12" x14ac:dyDescent="0.45">
      <c r="L326" s="30" t="str">
        <f t="shared" si="23"/>
        <v>-</v>
      </c>
    </row>
    <row r="327" spans="12:12" x14ac:dyDescent="0.45">
      <c r="L327" s="30" t="str">
        <f t="shared" si="23"/>
        <v>-</v>
      </c>
    </row>
    <row r="328" spans="12:12" x14ac:dyDescent="0.45">
      <c r="L328" s="30" t="str">
        <f t="shared" si="23"/>
        <v>-</v>
      </c>
    </row>
    <row r="329" spans="12:12" x14ac:dyDescent="0.45">
      <c r="L329" s="30" t="str">
        <f t="shared" si="23"/>
        <v>-</v>
      </c>
    </row>
    <row r="330" spans="12:12" x14ac:dyDescent="0.45">
      <c r="L330" s="30" t="str">
        <f t="shared" si="23"/>
        <v>-</v>
      </c>
    </row>
    <row r="331" spans="12:12" x14ac:dyDescent="0.45">
      <c r="L331" s="30" t="str">
        <f t="shared" si="23"/>
        <v>-</v>
      </c>
    </row>
    <row r="332" spans="12:12" x14ac:dyDescent="0.45">
      <c r="L332" s="30" t="str">
        <f t="shared" si="23"/>
        <v>-</v>
      </c>
    </row>
    <row r="333" spans="12:12" x14ac:dyDescent="0.45">
      <c r="L333" s="30" t="str">
        <f t="shared" si="23"/>
        <v>-</v>
      </c>
    </row>
    <row r="334" spans="12:12" x14ac:dyDescent="0.45">
      <c r="L334" s="30" t="str">
        <f t="shared" si="23"/>
        <v>-</v>
      </c>
    </row>
    <row r="335" spans="12:12" x14ac:dyDescent="0.45">
      <c r="L335" s="30" t="str">
        <f t="shared" si="23"/>
        <v>-</v>
      </c>
    </row>
    <row r="336" spans="12:12" x14ac:dyDescent="0.45">
      <c r="L336" s="30" t="str">
        <f t="shared" si="23"/>
        <v>-</v>
      </c>
    </row>
    <row r="337" spans="12:12" x14ac:dyDescent="0.45">
      <c r="L337" s="30" t="str">
        <f t="shared" si="23"/>
        <v>-</v>
      </c>
    </row>
    <row r="338" spans="12:12" x14ac:dyDescent="0.45">
      <c r="L338" s="30" t="str">
        <f t="shared" si="23"/>
        <v>-</v>
      </c>
    </row>
    <row r="339" spans="12:12" x14ac:dyDescent="0.45">
      <c r="L339" s="30" t="str">
        <f t="shared" si="23"/>
        <v>-</v>
      </c>
    </row>
    <row r="340" spans="12:12" x14ac:dyDescent="0.45">
      <c r="L340" s="30" t="str">
        <f t="shared" si="23"/>
        <v>-</v>
      </c>
    </row>
    <row r="341" spans="12:12" x14ac:dyDescent="0.45">
      <c r="L341" s="30" t="str">
        <f t="shared" si="23"/>
        <v>-</v>
      </c>
    </row>
    <row r="342" spans="12:12" x14ac:dyDescent="0.45">
      <c r="L342" s="30" t="str">
        <f t="shared" si="23"/>
        <v>-</v>
      </c>
    </row>
    <row r="343" spans="12:12" x14ac:dyDescent="0.45">
      <c r="L343" s="30" t="str">
        <f t="shared" si="23"/>
        <v>-</v>
      </c>
    </row>
    <row r="344" spans="12:12" x14ac:dyDescent="0.45">
      <c r="L344" s="30" t="str">
        <f t="shared" si="23"/>
        <v>-</v>
      </c>
    </row>
    <row r="345" spans="12:12" x14ac:dyDescent="0.45">
      <c r="L345" s="30" t="str">
        <f t="shared" si="23"/>
        <v>-</v>
      </c>
    </row>
    <row r="346" spans="12:12" x14ac:dyDescent="0.45">
      <c r="L346" s="30" t="str">
        <f t="shared" ref="L346:L409" si="24">IFERROR(G346/F346,"-")</f>
        <v>-</v>
      </c>
    </row>
    <row r="347" spans="12:12" x14ac:dyDescent="0.45">
      <c r="L347" s="30" t="str">
        <f t="shared" si="24"/>
        <v>-</v>
      </c>
    </row>
    <row r="348" spans="12:12" x14ac:dyDescent="0.45">
      <c r="L348" s="30" t="str">
        <f t="shared" si="24"/>
        <v>-</v>
      </c>
    </row>
    <row r="349" spans="12:12" x14ac:dyDescent="0.45">
      <c r="L349" s="30" t="str">
        <f t="shared" si="24"/>
        <v>-</v>
      </c>
    </row>
    <row r="350" spans="12:12" x14ac:dyDescent="0.45">
      <c r="L350" s="30" t="str">
        <f t="shared" si="24"/>
        <v>-</v>
      </c>
    </row>
    <row r="351" spans="12:12" x14ac:dyDescent="0.45">
      <c r="L351" s="30" t="str">
        <f t="shared" si="24"/>
        <v>-</v>
      </c>
    </row>
    <row r="352" spans="12:12" x14ac:dyDescent="0.45">
      <c r="L352" s="30" t="str">
        <f t="shared" si="24"/>
        <v>-</v>
      </c>
    </row>
    <row r="353" spans="12:12" x14ac:dyDescent="0.45">
      <c r="L353" s="30" t="str">
        <f t="shared" si="24"/>
        <v>-</v>
      </c>
    </row>
    <row r="354" spans="12:12" x14ac:dyDescent="0.45">
      <c r="L354" s="30" t="str">
        <f t="shared" si="24"/>
        <v>-</v>
      </c>
    </row>
    <row r="355" spans="12:12" x14ac:dyDescent="0.45">
      <c r="L355" s="30" t="str">
        <f t="shared" si="24"/>
        <v>-</v>
      </c>
    </row>
    <row r="356" spans="12:12" x14ac:dyDescent="0.45">
      <c r="L356" s="30" t="str">
        <f t="shared" si="24"/>
        <v>-</v>
      </c>
    </row>
    <row r="357" spans="12:12" x14ac:dyDescent="0.45">
      <c r="L357" s="30" t="str">
        <f t="shared" si="24"/>
        <v>-</v>
      </c>
    </row>
    <row r="358" spans="12:12" x14ac:dyDescent="0.45">
      <c r="L358" s="30" t="str">
        <f t="shared" si="24"/>
        <v>-</v>
      </c>
    </row>
    <row r="359" spans="12:12" x14ac:dyDescent="0.45">
      <c r="L359" s="30" t="str">
        <f t="shared" si="24"/>
        <v>-</v>
      </c>
    </row>
    <row r="360" spans="12:12" x14ac:dyDescent="0.45">
      <c r="L360" s="30" t="str">
        <f t="shared" si="24"/>
        <v>-</v>
      </c>
    </row>
    <row r="361" spans="12:12" x14ac:dyDescent="0.45">
      <c r="L361" s="30" t="str">
        <f t="shared" si="24"/>
        <v>-</v>
      </c>
    </row>
    <row r="362" spans="12:12" x14ac:dyDescent="0.45">
      <c r="L362" s="30" t="str">
        <f t="shared" si="24"/>
        <v>-</v>
      </c>
    </row>
    <row r="363" spans="12:12" x14ac:dyDescent="0.45">
      <c r="L363" s="30" t="str">
        <f t="shared" si="24"/>
        <v>-</v>
      </c>
    </row>
    <row r="364" spans="12:12" x14ac:dyDescent="0.45">
      <c r="L364" s="30" t="str">
        <f t="shared" si="24"/>
        <v>-</v>
      </c>
    </row>
    <row r="365" spans="12:12" x14ac:dyDescent="0.45">
      <c r="L365" s="30" t="str">
        <f t="shared" si="24"/>
        <v>-</v>
      </c>
    </row>
    <row r="366" spans="12:12" x14ac:dyDescent="0.45">
      <c r="L366" s="30" t="str">
        <f t="shared" si="24"/>
        <v>-</v>
      </c>
    </row>
    <row r="367" spans="12:12" x14ac:dyDescent="0.45">
      <c r="L367" s="30" t="str">
        <f t="shared" si="24"/>
        <v>-</v>
      </c>
    </row>
    <row r="368" spans="12:12" x14ac:dyDescent="0.45">
      <c r="L368" s="30" t="str">
        <f t="shared" si="24"/>
        <v>-</v>
      </c>
    </row>
    <row r="369" spans="12:12" x14ac:dyDescent="0.45">
      <c r="L369" s="30" t="str">
        <f t="shared" si="24"/>
        <v>-</v>
      </c>
    </row>
    <row r="370" spans="12:12" x14ac:dyDescent="0.45">
      <c r="L370" s="30" t="str">
        <f t="shared" si="24"/>
        <v>-</v>
      </c>
    </row>
    <row r="371" spans="12:12" x14ac:dyDescent="0.45">
      <c r="L371" s="30" t="str">
        <f t="shared" si="24"/>
        <v>-</v>
      </c>
    </row>
    <row r="372" spans="12:12" x14ac:dyDescent="0.45">
      <c r="L372" s="30" t="str">
        <f t="shared" si="24"/>
        <v>-</v>
      </c>
    </row>
    <row r="373" spans="12:12" x14ac:dyDescent="0.45">
      <c r="L373" s="30" t="str">
        <f t="shared" si="24"/>
        <v>-</v>
      </c>
    </row>
    <row r="374" spans="12:12" x14ac:dyDescent="0.45">
      <c r="L374" s="30" t="str">
        <f t="shared" si="24"/>
        <v>-</v>
      </c>
    </row>
    <row r="375" spans="12:12" x14ac:dyDescent="0.45">
      <c r="L375" s="30" t="str">
        <f t="shared" si="24"/>
        <v>-</v>
      </c>
    </row>
    <row r="376" spans="12:12" x14ac:dyDescent="0.45">
      <c r="L376" s="30" t="str">
        <f t="shared" si="24"/>
        <v>-</v>
      </c>
    </row>
    <row r="377" spans="12:12" x14ac:dyDescent="0.45">
      <c r="L377" s="30" t="str">
        <f t="shared" si="24"/>
        <v>-</v>
      </c>
    </row>
    <row r="378" spans="12:12" x14ac:dyDescent="0.45">
      <c r="L378" s="30" t="str">
        <f t="shared" si="24"/>
        <v>-</v>
      </c>
    </row>
    <row r="379" spans="12:12" x14ac:dyDescent="0.45">
      <c r="L379" s="30" t="str">
        <f t="shared" si="24"/>
        <v>-</v>
      </c>
    </row>
    <row r="380" spans="12:12" x14ac:dyDescent="0.45">
      <c r="L380" s="30" t="str">
        <f t="shared" si="24"/>
        <v>-</v>
      </c>
    </row>
    <row r="381" spans="12:12" x14ac:dyDescent="0.45">
      <c r="L381" s="30" t="str">
        <f t="shared" si="24"/>
        <v>-</v>
      </c>
    </row>
    <row r="382" spans="12:12" x14ac:dyDescent="0.45">
      <c r="L382" s="30" t="str">
        <f t="shared" si="24"/>
        <v>-</v>
      </c>
    </row>
    <row r="383" spans="12:12" x14ac:dyDescent="0.45">
      <c r="L383" s="30" t="str">
        <f t="shared" si="24"/>
        <v>-</v>
      </c>
    </row>
    <row r="384" spans="12:12" x14ac:dyDescent="0.45">
      <c r="L384" s="30" t="str">
        <f t="shared" si="24"/>
        <v>-</v>
      </c>
    </row>
    <row r="385" spans="12:12" x14ac:dyDescent="0.45">
      <c r="L385" s="30" t="str">
        <f t="shared" si="24"/>
        <v>-</v>
      </c>
    </row>
    <row r="386" spans="12:12" x14ac:dyDescent="0.45">
      <c r="L386" s="30" t="str">
        <f t="shared" si="24"/>
        <v>-</v>
      </c>
    </row>
    <row r="387" spans="12:12" x14ac:dyDescent="0.45">
      <c r="L387" s="30" t="str">
        <f t="shared" si="24"/>
        <v>-</v>
      </c>
    </row>
    <row r="388" spans="12:12" x14ac:dyDescent="0.45">
      <c r="L388" s="30" t="str">
        <f t="shared" si="24"/>
        <v>-</v>
      </c>
    </row>
    <row r="389" spans="12:12" x14ac:dyDescent="0.45">
      <c r="L389" s="30" t="str">
        <f t="shared" si="24"/>
        <v>-</v>
      </c>
    </row>
    <row r="390" spans="12:12" x14ac:dyDescent="0.45">
      <c r="L390" s="30" t="str">
        <f t="shared" si="24"/>
        <v>-</v>
      </c>
    </row>
    <row r="391" spans="12:12" x14ac:dyDescent="0.45">
      <c r="L391" s="30" t="str">
        <f t="shared" si="24"/>
        <v>-</v>
      </c>
    </row>
    <row r="392" spans="12:12" x14ac:dyDescent="0.45">
      <c r="L392" s="30" t="str">
        <f t="shared" si="24"/>
        <v>-</v>
      </c>
    </row>
    <row r="393" spans="12:12" x14ac:dyDescent="0.45">
      <c r="L393" s="30" t="str">
        <f t="shared" si="24"/>
        <v>-</v>
      </c>
    </row>
    <row r="394" spans="12:12" x14ac:dyDescent="0.45">
      <c r="L394" s="30" t="str">
        <f t="shared" si="24"/>
        <v>-</v>
      </c>
    </row>
    <row r="395" spans="12:12" x14ac:dyDescent="0.45">
      <c r="L395" s="30" t="str">
        <f t="shared" si="24"/>
        <v>-</v>
      </c>
    </row>
    <row r="396" spans="12:12" x14ac:dyDescent="0.45">
      <c r="L396" s="30" t="str">
        <f t="shared" si="24"/>
        <v>-</v>
      </c>
    </row>
    <row r="397" spans="12:12" x14ac:dyDescent="0.45">
      <c r="L397" s="30" t="str">
        <f t="shared" si="24"/>
        <v>-</v>
      </c>
    </row>
    <row r="398" spans="12:12" x14ac:dyDescent="0.45">
      <c r="L398" s="30" t="str">
        <f t="shared" si="24"/>
        <v>-</v>
      </c>
    </row>
    <row r="399" spans="12:12" x14ac:dyDescent="0.45">
      <c r="L399" s="30" t="str">
        <f t="shared" si="24"/>
        <v>-</v>
      </c>
    </row>
    <row r="400" spans="12:12" x14ac:dyDescent="0.45">
      <c r="L400" s="30" t="str">
        <f t="shared" si="24"/>
        <v>-</v>
      </c>
    </row>
    <row r="401" spans="12:12" x14ac:dyDescent="0.45">
      <c r="L401" s="30" t="str">
        <f t="shared" si="24"/>
        <v>-</v>
      </c>
    </row>
    <row r="402" spans="12:12" x14ac:dyDescent="0.45">
      <c r="L402" s="30" t="str">
        <f t="shared" si="24"/>
        <v>-</v>
      </c>
    </row>
    <row r="403" spans="12:12" x14ac:dyDescent="0.45">
      <c r="L403" s="30" t="str">
        <f t="shared" si="24"/>
        <v>-</v>
      </c>
    </row>
    <row r="404" spans="12:12" x14ac:dyDescent="0.45">
      <c r="L404" s="30" t="str">
        <f t="shared" si="24"/>
        <v>-</v>
      </c>
    </row>
    <row r="405" spans="12:12" x14ac:dyDescent="0.45">
      <c r="L405" s="30" t="str">
        <f t="shared" si="24"/>
        <v>-</v>
      </c>
    </row>
    <row r="406" spans="12:12" x14ac:dyDescent="0.45">
      <c r="L406" s="30" t="str">
        <f t="shared" si="24"/>
        <v>-</v>
      </c>
    </row>
    <row r="407" spans="12:12" x14ac:dyDescent="0.45">
      <c r="L407" s="30" t="str">
        <f t="shared" si="24"/>
        <v>-</v>
      </c>
    </row>
    <row r="408" spans="12:12" x14ac:dyDescent="0.45">
      <c r="L408" s="30" t="str">
        <f t="shared" si="24"/>
        <v>-</v>
      </c>
    </row>
    <row r="409" spans="12:12" x14ac:dyDescent="0.45">
      <c r="L409" s="30" t="str">
        <f t="shared" si="24"/>
        <v>-</v>
      </c>
    </row>
    <row r="410" spans="12:12" x14ac:dyDescent="0.45">
      <c r="L410" s="30" t="str">
        <f t="shared" ref="L410:L473" si="25">IFERROR(G410/F410,"-")</f>
        <v>-</v>
      </c>
    </row>
    <row r="411" spans="12:12" x14ac:dyDescent="0.45">
      <c r="L411" s="30" t="str">
        <f t="shared" si="25"/>
        <v>-</v>
      </c>
    </row>
    <row r="412" spans="12:12" x14ac:dyDescent="0.45">
      <c r="L412" s="30" t="str">
        <f t="shared" si="25"/>
        <v>-</v>
      </c>
    </row>
    <row r="413" spans="12:12" x14ac:dyDescent="0.45">
      <c r="L413" s="30" t="str">
        <f t="shared" si="25"/>
        <v>-</v>
      </c>
    </row>
    <row r="414" spans="12:12" x14ac:dyDescent="0.45">
      <c r="L414" s="30" t="str">
        <f t="shared" si="25"/>
        <v>-</v>
      </c>
    </row>
    <row r="415" spans="12:12" x14ac:dyDescent="0.45">
      <c r="L415" s="30" t="str">
        <f t="shared" si="25"/>
        <v>-</v>
      </c>
    </row>
    <row r="416" spans="12:12" x14ac:dyDescent="0.45">
      <c r="L416" s="30" t="str">
        <f t="shared" si="25"/>
        <v>-</v>
      </c>
    </row>
    <row r="417" spans="12:12" x14ac:dyDescent="0.45">
      <c r="L417" s="30" t="str">
        <f t="shared" si="25"/>
        <v>-</v>
      </c>
    </row>
    <row r="418" spans="12:12" x14ac:dyDescent="0.45">
      <c r="L418" s="30" t="str">
        <f t="shared" si="25"/>
        <v>-</v>
      </c>
    </row>
    <row r="419" spans="12:12" x14ac:dyDescent="0.45">
      <c r="L419" s="30" t="str">
        <f t="shared" si="25"/>
        <v>-</v>
      </c>
    </row>
    <row r="420" spans="12:12" x14ac:dyDescent="0.45">
      <c r="L420" s="30" t="str">
        <f t="shared" si="25"/>
        <v>-</v>
      </c>
    </row>
    <row r="421" spans="12:12" x14ac:dyDescent="0.45">
      <c r="L421" s="30" t="str">
        <f t="shared" si="25"/>
        <v>-</v>
      </c>
    </row>
    <row r="422" spans="12:12" x14ac:dyDescent="0.45">
      <c r="L422" s="30" t="str">
        <f t="shared" si="25"/>
        <v>-</v>
      </c>
    </row>
    <row r="423" spans="12:12" x14ac:dyDescent="0.45">
      <c r="L423" s="30" t="str">
        <f t="shared" si="25"/>
        <v>-</v>
      </c>
    </row>
    <row r="424" spans="12:12" x14ac:dyDescent="0.45">
      <c r="L424" s="30" t="str">
        <f t="shared" si="25"/>
        <v>-</v>
      </c>
    </row>
    <row r="425" spans="12:12" x14ac:dyDescent="0.45">
      <c r="L425" s="30" t="str">
        <f t="shared" si="25"/>
        <v>-</v>
      </c>
    </row>
    <row r="426" spans="12:12" x14ac:dyDescent="0.45">
      <c r="L426" s="30" t="str">
        <f t="shared" si="25"/>
        <v>-</v>
      </c>
    </row>
    <row r="427" spans="12:12" x14ac:dyDescent="0.45">
      <c r="L427" s="30" t="str">
        <f t="shared" si="25"/>
        <v>-</v>
      </c>
    </row>
    <row r="428" spans="12:12" x14ac:dyDescent="0.45">
      <c r="L428" s="30" t="str">
        <f t="shared" si="25"/>
        <v>-</v>
      </c>
    </row>
    <row r="429" spans="12:12" x14ac:dyDescent="0.45">
      <c r="L429" s="30" t="str">
        <f t="shared" si="25"/>
        <v>-</v>
      </c>
    </row>
    <row r="430" spans="12:12" x14ac:dyDescent="0.45">
      <c r="L430" s="30" t="str">
        <f t="shared" si="25"/>
        <v>-</v>
      </c>
    </row>
    <row r="431" spans="12:12" x14ac:dyDescent="0.45">
      <c r="L431" s="30" t="str">
        <f t="shared" si="25"/>
        <v>-</v>
      </c>
    </row>
    <row r="432" spans="12:12" x14ac:dyDescent="0.45">
      <c r="L432" s="30" t="str">
        <f t="shared" si="25"/>
        <v>-</v>
      </c>
    </row>
    <row r="433" spans="12:12" x14ac:dyDescent="0.45">
      <c r="L433" s="30" t="str">
        <f t="shared" si="25"/>
        <v>-</v>
      </c>
    </row>
    <row r="434" spans="12:12" x14ac:dyDescent="0.45">
      <c r="L434" s="30" t="str">
        <f t="shared" si="25"/>
        <v>-</v>
      </c>
    </row>
    <row r="435" spans="12:12" x14ac:dyDescent="0.45">
      <c r="L435" s="30" t="str">
        <f t="shared" si="25"/>
        <v>-</v>
      </c>
    </row>
    <row r="436" spans="12:12" x14ac:dyDescent="0.45">
      <c r="L436" s="30" t="str">
        <f t="shared" si="25"/>
        <v>-</v>
      </c>
    </row>
    <row r="437" spans="12:12" x14ac:dyDescent="0.45">
      <c r="L437" s="30" t="str">
        <f t="shared" si="25"/>
        <v>-</v>
      </c>
    </row>
    <row r="438" spans="12:12" x14ac:dyDescent="0.45">
      <c r="L438" s="30" t="str">
        <f t="shared" si="25"/>
        <v>-</v>
      </c>
    </row>
    <row r="439" spans="12:12" x14ac:dyDescent="0.45">
      <c r="L439" s="30" t="str">
        <f t="shared" si="25"/>
        <v>-</v>
      </c>
    </row>
    <row r="440" spans="12:12" x14ac:dyDescent="0.45">
      <c r="L440" s="30" t="str">
        <f t="shared" si="25"/>
        <v>-</v>
      </c>
    </row>
    <row r="441" spans="12:12" x14ac:dyDescent="0.45">
      <c r="L441" s="30" t="str">
        <f t="shared" si="25"/>
        <v>-</v>
      </c>
    </row>
    <row r="442" spans="12:12" x14ac:dyDescent="0.45">
      <c r="L442" s="30" t="str">
        <f t="shared" si="25"/>
        <v>-</v>
      </c>
    </row>
    <row r="443" spans="12:12" x14ac:dyDescent="0.45">
      <c r="L443" s="30" t="str">
        <f t="shared" si="25"/>
        <v>-</v>
      </c>
    </row>
    <row r="444" spans="12:12" x14ac:dyDescent="0.45">
      <c r="L444" s="30" t="str">
        <f t="shared" si="25"/>
        <v>-</v>
      </c>
    </row>
    <row r="445" spans="12:12" x14ac:dyDescent="0.45">
      <c r="L445" s="30" t="str">
        <f t="shared" si="25"/>
        <v>-</v>
      </c>
    </row>
    <row r="446" spans="12:12" x14ac:dyDescent="0.45">
      <c r="L446" s="30" t="str">
        <f t="shared" si="25"/>
        <v>-</v>
      </c>
    </row>
    <row r="447" spans="12:12" x14ac:dyDescent="0.45">
      <c r="L447" s="30" t="str">
        <f t="shared" si="25"/>
        <v>-</v>
      </c>
    </row>
    <row r="448" spans="12:12" x14ac:dyDescent="0.45">
      <c r="L448" s="30" t="str">
        <f t="shared" si="25"/>
        <v>-</v>
      </c>
    </row>
    <row r="449" spans="12:12" x14ac:dyDescent="0.45">
      <c r="L449" s="30" t="str">
        <f t="shared" si="25"/>
        <v>-</v>
      </c>
    </row>
    <row r="450" spans="12:12" x14ac:dyDescent="0.45">
      <c r="L450" s="30" t="str">
        <f t="shared" si="25"/>
        <v>-</v>
      </c>
    </row>
    <row r="451" spans="12:12" x14ac:dyDescent="0.45">
      <c r="L451" s="30" t="str">
        <f t="shared" si="25"/>
        <v>-</v>
      </c>
    </row>
    <row r="452" spans="12:12" x14ac:dyDescent="0.45">
      <c r="L452" s="30" t="str">
        <f t="shared" si="25"/>
        <v>-</v>
      </c>
    </row>
    <row r="453" spans="12:12" x14ac:dyDescent="0.45">
      <c r="L453" s="30" t="str">
        <f t="shared" si="25"/>
        <v>-</v>
      </c>
    </row>
    <row r="454" spans="12:12" x14ac:dyDescent="0.45">
      <c r="L454" s="30" t="str">
        <f t="shared" si="25"/>
        <v>-</v>
      </c>
    </row>
    <row r="455" spans="12:12" x14ac:dyDescent="0.45">
      <c r="L455" s="30" t="str">
        <f t="shared" si="25"/>
        <v>-</v>
      </c>
    </row>
    <row r="456" spans="12:12" x14ac:dyDescent="0.45">
      <c r="L456" s="30" t="str">
        <f t="shared" si="25"/>
        <v>-</v>
      </c>
    </row>
    <row r="457" spans="12:12" x14ac:dyDescent="0.45">
      <c r="L457" s="30" t="str">
        <f t="shared" si="25"/>
        <v>-</v>
      </c>
    </row>
    <row r="458" spans="12:12" x14ac:dyDescent="0.45">
      <c r="L458" s="30" t="str">
        <f t="shared" si="25"/>
        <v>-</v>
      </c>
    </row>
    <row r="459" spans="12:12" x14ac:dyDescent="0.45">
      <c r="L459" s="30" t="str">
        <f t="shared" si="25"/>
        <v>-</v>
      </c>
    </row>
    <row r="460" spans="12:12" x14ac:dyDescent="0.45">
      <c r="L460" s="30" t="str">
        <f t="shared" si="25"/>
        <v>-</v>
      </c>
    </row>
    <row r="461" spans="12:12" x14ac:dyDescent="0.45">
      <c r="L461" s="30" t="str">
        <f t="shared" si="25"/>
        <v>-</v>
      </c>
    </row>
    <row r="462" spans="12:12" x14ac:dyDescent="0.45">
      <c r="L462" s="30" t="str">
        <f t="shared" si="25"/>
        <v>-</v>
      </c>
    </row>
    <row r="463" spans="12:12" x14ac:dyDescent="0.45">
      <c r="L463" s="30" t="str">
        <f t="shared" si="25"/>
        <v>-</v>
      </c>
    </row>
    <row r="464" spans="12:12" x14ac:dyDescent="0.45">
      <c r="L464" s="30" t="str">
        <f t="shared" si="25"/>
        <v>-</v>
      </c>
    </row>
    <row r="465" spans="12:12" x14ac:dyDescent="0.45">
      <c r="L465" s="30" t="str">
        <f t="shared" si="25"/>
        <v>-</v>
      </c>
    </row>
    <row r="466" spans="12:12" x14ac:dyDescent="0.45">
      <c r="L466" s="30" t="str">
        <f t="shared" si="25"/>
        <v>-</v>
      </c>
    </row>
    <row r="467" spans="12:12" x14ac:dyDescent="0.45">
      <c r="L467" s="30" t="str">
        <f t="shared" si="25"/>
        <v>-</v>
      </c>
    </row>
    <row r="468" spans="12:12" x14ac:dyDescent="0.45">
      <c r="L468" s="30" t="str">
        <f t="shared" si="25"/>
        <v>-</v>
      </c>
    </row>
    <row r="469" spans="12:12" x14ac:dyDescent="0.45">
      <c r="L469" s="30" t="str">
        <f t="shared" si="25"/>
        <v>-</v>
      </c>
    </row>
    <row r="470" spans="12:12" x14ac:dyDescent="0.45">
      <c r="L470" s="30" t="str">
        <f t="shared" si="25"/>
        <v>-</v>
      </c>
    </row>
    <row r="471" spans="12:12" x14ac:dyDescent="0.45">
      <c r="L471" s="30" t="str">
        <f t="shared" si="25"/>
        <v>-</v>
      </c>
    </row>
    <row r="472" spans="12:12" x14ac:dyDescent="0.45">
      <c r="L472" s="30" t="str">
        <f t="shared" si="25"/>
        <v>-</v>
      </c>
    </row>
    <row r="473" spans="12:12" x14ac:dyDescent="0.45">
      <c r="L473" s="30" t="str">
        <f t="shared" si="25"/>
        <v>-</v>
      </c>
    </row>
    <row r="474" spans="12:12" x14ac:dyDescent="0.45">
      <c r="L474" s="30" t="str">
        <f t="shared" ref="L474:L537" si="26">IFERROR(G474/F474,"-")</f>
        <v>-</v>
      </c>
    </row>
    <row r="475" spans="12:12" x14ac:dyDescent="0.45">
      <c r="L475" s="30" t="str">
        <f t="shared" si="26"/>
        <v>-</v>
      </c>
    </row>
    <row r="476" spans="12:12" x14ac:dyDescent="0.45">
      <c r="L476" s="30" t="str">
        <f t="shared" si="26"/>
        <v>-</v>
      </c>
    </row>
    <row r="477" spans="12:12" x14ac:dyDescent="0.45">
      <c r="L477" s="30" t="str">
        <f t="shared" si="26"/>
        <v>-</v>
      </c>
    </row>
    <row r="478" spans="12:12" x14ac:dyDescent="0.45">
      <c r="L478" s="30" t="str">
        <f t="shared" si="26"/>
        <v>-</v>
      </c>
    </row>
    <row r="479" spans="12:12" x14ac:dyDescent="0.45">
      <c r="L479" s="30" t="str">
        <f t="shared" si="26"/>
        <v>-</v>
      </c>
    </row>
    <row r="480" spans="12:12" x14ac:dyDescent="0.45">
      <c r="L480" s="30" t="str">
        <f t="shared" si="26"/>
        <v>-</v>
      </c>
    </row>
    <row r="481" spans="12:12" x14ac:dyDescent="0.45">
      <c r="L481" s="30" t="str">
        <f t="shared" si="26"/>
        <v>-</v>
      </c>
    </row>
    <row r="482" spans="12:12" x14ac:dyDescent="0.45">
      <c r="L482" s="30" t="str">
        <f t="shared" si="26"/>
        <v>-</v>
      </c>
    </row>
    <row r="483" spans="12:12" x14ac:dyDescent="0.45">
      <c r="L483" s="30" t="str">
        <f t="shared" si="26"/>
        <v>-</v>
      </c>
    </row>
    <row r="484" spans="12:12" x14ac:dyDescent="0.45">
      <c r="L484" s="30" t="str">
        <f t="shared" si="26"/>
        <v>-</v>
      </c>
    </row>
    <row r="485" spans="12:12" x14ac:dyDescent="0.45">
      <c r="L485" s="30" t="str">
        <f t="shared" si="26"/>
        <v>-</v>
      </c>
    </row>
    <row r="486" spans="12:12" x14ac:dyDescent="0.45">
      <c r="L486" s="30" t="str">
        <f t="shared" si="26"/>
        <v>-</v>
      </c>
    </row>
    <row r="487" spans="12:12" x14ac:dyDescent="0.45">
      <c r="L487" s="30" t="str">
        <f t="shared" si="26"/>
        <v>-</v>
      </c>
    </row>
    <row r="488" spans="12:12" x14ac:dyDescent="0.45">
      <c r="L488" s="30" t="str">
        <f t="shared" si="26"/>
        <v>-</v>
      </c>
    </row>
    <row r="489" spans="12:12" x14ac:dyDescent="0.45">
      <c r="L489" s="30" t="str">
        <f t="shared" si="26"/>
        <v>-</v>
      </c>
    </row>
    <row r="490" spans="12:12" x14ac:dyDescent="0.45">
      <c r="L490" s="30" t="str">
        <f t="shared" si="26"/>
        <v>-</v>
      </c>
    </row>
    <row r="491" spans="12:12" x14ac:dyDescent="0.45">
      <c r="L491" s="30" t="str">
        <f t="shared" si="26"/>
        <v>-</v>
      </c>
    </row>
    <row r="492" spans="12:12" x14ac:dyDescent="0.45">
      <c r="L492" s="30" t="str">
        <f t="shared" si="26"/>
        <v>-</v>
      </c>
    </row>
    <row r="493" spans="12:12" x14ac:dyDescent="0.45">
      <c r="L493" s="30" t="str">
        <f t="shared" si="26"/>
        <v>-</v>
      </c>
    </row>
    <row r="494" spans="12:12" x14ac:dyDescent="0.45">
      <c r="L494" s="30" t="str">
        <f t="shared" si="26"/>
        <v>-</v>
      </c>
    </row>
    <row r="495" spans="12:12" x14ac:dyDescent="0.45">
      <c r="L495" s="30" t="str">
        <f t="shared" si="26"/>
        <v>-</v>
      </c>
    </row>
    <row r="496" spans="12:12" x14ac:dyDescent="0.45">
      <c r="L496" s="30" t="str">
        <f t="shared" si="26"/>
        <v>-</v>
      </c>
    </row>
    <row r="497" spans="12:12" x14ac:dyDescent="0.45">
      <c r="L497" s="30" t="str">
        <f t="shared" si="26"/>
        <v>-</v>
      </c>
    </row>
    <row r="498" spans="12:12" x14ac:dyDescent="0.45">
      <c r="L498" s="30" t="str">
        <f t="shared" si="26"/>
        <v>-</v>
      </c>
    </row>
    <row r="499" spans="12:12" x14ac:dyDescent="0.45">
      <c r="L499" s="30" t="str">
        <f t="shared" si="26"/>
        <v>-</v>
      </c>
    </row>
    <row r="500" spans="12:12" x14ac:dyDescent="0.45">
      <c r="L500" s="30" t="str">
        <f t="shared" si="26"/>
        <v>-</v>
      </c>
    </row>
    <row r="501" spans="12:12" x14ac:dyDescent="0.45">
      <c r="L501" s="30" t="str">
        <f t="shared" si="26"/>
        <v>-</v>
      </c>
    </row>
    <row r="502" spans="12:12" x14ac:dyDescent="0.45">
      <c r="L502" s="30" t="str">
        <f t="shared" si="26"/>
        <v>-</v>
      </c>
    </row>
    <row r="503" spans="12:12" x14ac:dyDescent="0.45">
      <c r="L503" s="30" t="str">
        <f t="shared" si="26"/>
        <v>-</v>
      </c>
    </row>
    <row r="504" spans="12:12" x14ac:dyDescent="0.45">
      <c r="L504" s="30" t="str">
        <f t="shared" si="26"/>
        <v>-</v>
      </c>
    </row>
    <row r="505" spans="12:12" x14ac:dyDescent="0.45">
      <c r="L505" s="30" t="str">
        <f t="shared" si="26"/>
        <v>-</v>
      </c>
    </row>
    <row r="506" spans="12:12" x14ac:dyDescent="0.45">
      <c r="L506" s="30" t="str">
        <f t="shared" si="26"/>
        <v>-</v>
      </c>
    </row>
    <row r="507" spans="12:12" x14ac:dyDescent="0.45">
      <c r="L507" s="30" t="str">
        <f t="shared" si="26"/>
        <v>-</v>
      </c>
    </row>
    <row r="508" spans="12:12" x14ac:dyDescent="0.45">
      <c r="L508" s="30" t="str">
        <f t="shared" si="26"/>
        <v>-</v>
      </c>
    </row>
    <row r="509" spans="12:12" x14ac:dyDescent="0.45">
      <c r="L509" s="30" t="str">
        <f t="shared" si="26"/>
        <v>-</v>
      </c>
    </row>
    <row r="510" spans="12:12" x14ac:dyDescent="0.45">
      <c r="L510" s="30" t="str">
        <f t="shared" si="26"/>
        <v>-</v>
      </c>
    </row>
    <row r="511" spans="12:12" x14ac:dyDescent="0.45">
      <c r="L511" s="30" t="str">
        <f t="shared" si="26"/>
        <v>-</v>
      </c>
    </row>
    <row r="512" spans="12:12" x14ac:dyDescent="0.45">
      <c r="L512" s="30" t="str">
        <f t="shared" si="26"/>
        <v>-</v>
      </c>
    </row>
    <row r="513" spans="12:12" x14ac:dyDescent="0.45">
      <c r="L513" s="30" t="str">
        <f t="shared" si="26"/>
        <v>-</v>
      </c>
    </row>
    <row r="514" spans="12:12" x14ac:dyDescent="0.45">
      <c r="L514" s="30" t="str">
        <f t="shared" si="26"/>
        <v>-</v>
      </c>
    </row>
    <row r="515" spans="12:12" x14ac:dyDescent="0.45">
      <c r="L515" s="30" t="str">
        <f t="shared" si="26"/>
        <v>-</v>
      </c>
    </row>
    <row r="516" spans="12:12" x14ac:dyDescent="0.45">
      <c r="L516" s="30" t="str">
        <f t="shared" si="26"/>
        <v>-</v>
      </c>
    </row>
    <row r="517" spans="12:12" x14ac:dyDescent="0.45">
      <c r="L517" s="30" t="str">
        <f t="shared" si="26"/>
        <v>-</v>
      </c>
    </row>
    <row r="518" spans="12:12" x14ac:dyDescent="0.45">
      <c r="L518" s="30" t="str">
        <f t="shared" si="26"/>
        <v>-</v>
      </c>
    </row>
    <row r="519" spans="12:12" x14ac:dyDescent="0.45">
      <c r="L519" s="30" t="str">
        <f t="shared" si="26"/>
        <v>-</v>
      </c>
    </row>
    <row r="520" spans="12:12" x14ac:dyDescent="0.45">
      <c r="L520" s="30" t="str">
        <f t="shared" si="26"/>
        <v>-</v>
      </c>
    </row>
    <row r="521" spans="12:12" x14ac:dyDescent="0.45">
      <c r="L521" s="30" t="str">
        <f t="shared" si="26"/>
        <v>-</v>
      </c>
    </row>
    <row r="522" spans="12:12" x14ac:dyDescent="0.45">
      <c r="L522" s="30" t="str">
        <f t="shared" si="26"/>
        <v>-</v>
      </c>
    </row>
    <row r="523" spans="12:12" x14ac:dyDescent="0.45">
      <c r="L523" s="30" t="str">
        <f t="shared" si="26"/>
        <v>-</v>
      </c>
    </row>
    <row r="524" spans="12:12" x14ac:dyDescent="0.45">
      <c r="L524" s="30" t="str">
        <f t="shared" si="26"/>
        <v>-</v>
      </c>
    </row>
    <row r="525" spans="12:12" x14ac:dyDescent="0.45">
      <c r="L525" s="30" t="str">
        <f t="shared" si="26"/>
        <v>-</v>
      </c>
    </row>
    <row r="526" spans="12:12" x14ac:dyDescent="0.45">
      <c r="L526" s="30" t="str">
        <f t="shared" si="26"/>
        <v>-</v>
      </c>
    </row>
    <row r="527" spans="12:12" x14ac:dyDescent="0.45">
      <c r="L527" s="30" t="str">
        <f t="shared" si="26"/>
        <v>-</v>
      </c>
    </row>
    <row r="528" spans="12:12" x14ac:dyDescent="0.45">
      <c r="L528" s="30" t="str">
        <f t="shared" si="26"/>
        <v>-</v>
      </c>
    </row>
    <row r="529" spans="12:12" x14ac:dyDescent="0.45">
      <c r="L529" s="30" t="str">
        <f t="shared" si="26"/>
        <v>-</v>
      </c>
    </row>
    <row r="530" spans="12:12" x14ac:dyDescent="0.45">
      <c r="L530" s="30" t="str">
        <f t="shared" si="26"/>
        <v>-</v>
      </c>
    </row>
    <row r="531" spans="12:12" x14ac:dyDescent="0.45">
      <c r="L531" s="30" t="str">
        <f t="shared" si="26"/>
        <v>-</v>
      </c>
    </row>
    <row r="532" spans="12:12" x14ac:dyDescent="0.45">
      <c r="L532" s="30" t="str">
        <f t="shared" si="26"/>
        <v>-</v>
      </c>
    </row>
    <row r="533" spans="12:12" x14ac:dyDescent="0.45">
      <c r="L533" s="30" t="str">
        <f t="shared" si="26"/>
        <v>-</v>
      </c>
    </row>
    <row r="534" spans="12:12" x14ac:dyDescent="0.45">
      <c r="L534" s="30" t="str">
        <f t="shared" si="26"/>
        <v>-</v>
      </c>
    </row>
    <row r="535" spans="12:12" x14ac:dyDescent="0.45">
      <c r="L535" s="30" t="str">
        <f t="shared" si="26"/>
        <v>-</v>
      </c>
    </row>
    <row r="536" spans="12:12" x14ac:dyDescent="0.45">
      <c r="L536" s="30" t="str">
        <f t="shared" si="26"/>
        <v>-</v>
      </c>
    </row>
    <row r="537" spans="12:12" x14ac:dyDescent="0.45">
      <c r="L537" s="30" t="str">
        <f t="shared" si="26"/>
        <v>-</v>
      </c>
    </row>
    <row r="538" spans="12:12" x14ac:dyDescent="0.45">
      <c r="L538" s="30" t="str">
        <f t="shared" ref="L538:L601" si="27">IFERROR(G538/F538,"-")</f>
        <v>-</v>
      </c>
    </row>
    <row r="539" spans="12:12" x14ac:dyDescent="0.45">
      <c r="L539" s="30" t="str">
        <f t="shared" si="27"/>
        <v>-</v>
      </c>
    </row>
    <row r="540" spans="12:12" x14ac:dyDescent="0.45">
      <c r="L540" s="30" t="str">
        <f t="shared" si="27"/>
        <v>-</v>
      </c>
    </row>
    <row r="541" spans="12:12" x14ac:dyDescent="0.45">
      <c r="L541" s="30" t="str">
        <f t="shared" si="27"/>
        <v>-</v>
      </c>
    </row>
    <row r="542" spans="12:12" x14ac:dyDescent="0.45">
      <c r="L542" s="30" t="str">
        <f t="shared" si="27"/>
        <v>-</v>
      </c>
    </row>
    <row r="543" spans="12:12" x14ac:dyDescent="0.45">
      <c r="L543" s="30" t="str">
        <f t="shared" si="27"/>
        <v>-</v>
      </c>
    </row>
    <row r="544" spans="12:12" x14ac:dyDescent="0.45">
      <c r="L544" s="30" t="str">
        <f t="shared" si="27"/>
        <v>-</v>
      </c>
    </row>
    <row r="545" spans="12:12" x14ac:dyDescent="0.45">
      <c r="L545" s="30" t="str">
        <f t="shared" si="27"/>
        <v>-</v>
      </c>
    </row>
    <row r="546" spans="12:12" x14ac:dyDescent="0.45">
      <c r="L546" s="30" t="str">
        <f t="shared" si="27"/>
        <v>-</v>
      </c>
    </row>
    <row r="547" spans="12:12" x14ac:dyDescent="0.45">
      <c r="L547" s="30" t="str">
        <f t="shared" si="27"/>
        <v>-</v>
      </c>
    </row>
    <row r="548" spans="12:12" x14ac:dyDescent="0.45">
      <c r="L548" s="30" t="str">
        <f t="shared" si="27"/>
        <v>-</v>
      </c>
    </row>
    <row r="549" spans="12:12" x14ac:dyDescent="0.45">
      <c r="L549" s="30" t="str">
        <f t="shared" si="27"/>
        <v>-</v>
      </c>
    </row>
    <row r="550" spans="12:12" x14ac:dyDescent="0.45">
      <c r="L550" s="30" t="str">
        <f t="shared" si="27"/>
        <v>-</v>
      </c>
    </row>
    <row r="551" spans="12:12" x14ac:dyDescent="0.45">
      <c r="L551" s="30" t="str">
        <f t="shared" si="27"/>
        <v>-</v>
      </c>
    </row>
    <row r="552" spans="12:12" x14ac:dyDescent="0.45">
      <c r="L552" s="30" t="str">
        <f t="shared" si="27"/>
        <v>-</v>
      </c>
    </row>
    <row r="553" spans="12:12" x14ac:dyDescent="0.45">
      <c r="L553" s="30" t="str">
        <f t="shared" si="27"/>
        <v>-</v>
      </c>
    </row>
    <row r="554" spans="12:12" x14ac:dyDescent="0.45">
      <c r="L554" s="30" t="str">
        <f t="shared" si="27"/>
        <v>-</v>
      </c>
    </row>
    <row r="555" spans="12:12" x14ac:dyDescent="0.45">
      <c r="L555" s="30" t="str">
        <f t="shared" si="27"/>
        <v>-</v>
      </c>
    </row>
    <row r="556" spans="12:12" x14ac:dyDescent="0.45">
      <c r="L556" s="30" t="str">
        <f t="shared" si="27"/>
        <v>-</v>
      </c>
    </row>
    <row r="557" spans="12:12" x14ac:dyDescent="0.45">
      <c r="L557" s="30" t="str">
        <f t="shared" si="27"/>
        <v>-</v>
      </c>
    </row>
    <row r="558" spans="12:12" x14ac:dyDescent="0.45">
      <c r="L558" s="30" t="str">
        <f t="shared" si="27"/>
        <v>-</v>
      </c>
    </row>
    <row r="559" spans="12:12" x14ac:dyDescent="0.45">
      <c r="L559" s="30" t="str">
        <f t="shared" si="27"/>
        <v>-</v>
      </c>
    </row>
    <row r="560" spans="12:12" x14ac:dyDescent="0.45">
      <c r="L560" s="30" t="str">
        <f t="shared" si="27"/>
        <v>-</v>
      </c>
    </row>
    <row r="561" spans="12:12" x14ac:dyDescent="0.45">
      <c r="L561" s="30" t="str">
        <f t="shared" si="27"/>
        <v>-</v>
      </c>
    </row>
    <row r="562" spans="12:12" x14ac:dyDescent="0.45">
      <c r="L562" s="30" t="str">
        <f t="shared" si="27"/>
        <v>-</v>
      </c>
    </row>
    <row r="563" spans="12:12" x14ac:dyDescent="0.45">
      <c r="L563" s="30" t="str">
        <f t="shared" si="27"/>
        <v>-</v>
      </c>
    </row>
    <row r="564" spans="12:12" x14ac:dyDescent="0.45">
      <c r="L564" s="30" t="str">
        <f t="shared" si="27"/>
        <v>-</v>
      </c>
    </row>
    <row r="565" spans="12:12" x14ac:dyDescent="0.45">
      <c r="L565" s="30" t="str">
        <f t="shared" si="27"/>
        <v>-</v>
      </c>
    </row>
    <row r="566" spans="12:12" x14ac:dyDescent="0.45">
      <c r="L566" s="30" t="str">
        <f t="shared" si="27"/>
        <v>-</v>
      </c>
    </row>
    <row r="567" spans="12:12" x14ac:dyDescent="0.45">
      <c r="L567" s="30" t="str">
        <f t="shared" si="27"/>
        <v>-</v>
      </c>
    </row>
    <row r="568" spans="12:12" x14ac:dyDescent="0.45">
      <c r="L568" s="30" t="str">
        <f t="shared" si="27"/>
        <v>-</v>
      </c>
    </row>
    <row r="569" spans="12:12" x14ac:dyDescent="0.45">
      <c r="L569" s="30" t="str">
        <f t="shared" si="27"/>
        <v>-</v>
      </c>
    </row>
    <row r="570" spans="12:12" x14ac:dyDescent="0.45">
      <c r="L570" s="30" t="str">
        <f t="shared" si="27"/>
        <v>-</v>
      </c>
    </row>
    <row r="571" spans="12:12" x14ac:dyDescent="0.45">
      <c r="L571" s="30" t="str">
        <f t="shared" si="27"/>
        <v>-</v>
      </c>
    </row>
    <row r="572" spans="12:12" x14ac:dyDescent="0.45">
      <c r="L572" s="30" t="str">
        <f t="shared" si="27"/>
        <v>-</v>
      </c>
    </row>
    <row r="573" spans="12:12" x14ac:dyDescent="0.45">
      <c r="L573" s="30" t="str">
        <f t="shared" si="27"/>
        <v>-</v>
      </c>
    </row>
    <row r="574" spans="12:12" x14ac:dyDescent="0.45">
      <c r="L574" s="30" t="str">
        <f t="shared" si="27"/>
        <v>-</v>
      </c>
    </row>
    <row r="575" spans="12:12" x14ac:dyDescent="0.45">
      <c r="L575" s="30" t="str">
        <f t="shared" si="27"/>
        <v>-</v>
      </c>
    </row>
    <row r="576" spans="12:12" x14ac:dyDescent="0.45">
      <c r="L576" s="30" t="str">
        <f t="shared" si="27"/>
        <v>-</v>
      </c>
    </row>
    <row r="577" spans="12:12" x14ac:dyDescent="0.45">
      <c r="L577" s="30" t="str">
        <f t="shared" si="27"/>
        <v>-</v>
      </c>
    </row>
    <row r="578" spans="12:12" x14ac:dyDescent="0.45">
      <c r="L578" s="30" t="str">
        <f t="shared" si="27"/>
        <v>-</v>
      </c>
    </row>
    <row r="579" spans="12:12" x14ac:dyDescent="0.45">
      <c r="L579" s="30" t="str">
        <f t="shared" si="27"/>
        <v>-</v>
      </c>
    </row>
    <row r="580" spans="12:12" x14ac:dyDescent="0.45">
      <c r="L580" s="30" t="str">
        <f t="shared" si="27"/>
        <v>-</v>
      </c>
    </row>
    <row r="581" spans="12:12" x14ac:dyDescent="0.45">
      <c r="L581" s="30" t="str">
        <f t="shared" si="27"/>
        <v>-</v>
      </c>
    </row>
    <row r="582" spans="12:12" x14ac:dyDescent="0.45">
      <c r="L582" s="30" t="str">
        <f t="shared" si="27"/>
        <v>-</v>
      </c>
    </row>
    <row r="583" spans="12:12" x14ac:dyDescent="0.45">
      <c r="L583" s="30" t="str">
        <f t="shared" si="27"/>
        <v>-</v>
      </c>
    </row>
    <row r="584" spans="12:12" x14ac:dyDescent="0.45">
      <c r="L584" s="30" t="str">
        <f t="shared" si="27"/>
        <v>-</v>
      </c>
    </row>
    <row r="585" spans="12:12" x14ac:dyDescent="0.45">
      <c r="L585" s="30" t="str">
        <f t="shared" si="27"/>
        <v>-</v>
      </c>
    </row>
    <row r="586" spans="12:12" x14ac:dyDescent="0.45">
      <c r="L586" s="30" t="str">
        <f t="shared" si="27"/>
        <v>-</v>
      </c>
    </row>
    <row r="587" spans="12:12" x14ac:dyDescent="0.45">
      <c r="L587" s="30" t="str">
        <f t="shared" si="27"/>
        <v>-</v>
      </c>
    </row>
    <row r="588" spans="12:12" x14ac:dyDescent="0.45">
      <c r="L588" s="30" t="str">
        <f t="shared" si="27"/>
        <v>-</v>
      </c>
    </row>
    <row r="589" spans="12:12" x14ac:dyDescent="0.45">
      <c r="L589" s="30" t="str">
        <f t="shared" si="27"/>
        <v>-</v>
      </c>
    </row>
    <row r="590" spans="12:12" x14ac:dyDescent="0.45">
      <c r="L590" s="30" t="str">
        <f t="shared" si="27"/>
        <v>-</v>
      </c>
    </row>
    <row r="591" spans="12:12" x14ac:dyDescent="0.45">
      <c r="L591" s="30" t="str">
        <f t="shared" si="27"/>
        <v>-</v>
      </c>
    </row>
    <row r="592" spans="12:12" x14ac:dyDescent="0.45">
      <c r="L592" s="30" t="str">
        <f t="shared" si="27"/>
        <v>-</v>
      </c>
    </row>
    <row r="593" spans="12:12" x14ac:dyDescent="0.45">
      <c r="L593" s="30" t="str">
        <f t="shared" si="27"/>
        <v>-</v>
      </c>
    </row>
    <row r="594" spans="12:12" x14ac:dyDescent="0.45">
      <c r="L594" s="30" t="str">
        <f t="shared" si="27"/>
        <v>-</v>
      </c>
    </row>
    <row r="595" spans="12:12" x14ac:dyDescent="0.45">
      <c r="L595" s="30" t="str">
        <f t="shared" si="27"/>
        <v>-</v>
      </c>
    </row>
    <row r="596" spans="12:12" x14ac:dyDescent="0.45">
      <c r="L596" s="30" t="str">
        <f t="shared" si="27"/>
        <v>-</v>
      </c>
    </row>
    <row r="597" spans="12:12" x14ac:dyDescent="0.45">
      <c r="L597" s="30" t="str">
        <f t="shared" si="27"/>
        <v>-</v>
      </c>
    </row>
    <row r="598" spans="12:12" x14ac:dyDescent="0.45">
      <c r="L598" s="30" t="str">
        <f t="shared" si="27"/>
        <v>-</v>
      </c>
    </row>
    <row r="599" spans="12:12" x14ac:dyDescent="0.45">
      <c r="L599" s="30" t="str">
        <f t="shared" si="27"/>
        <v>-</v>
      </c>
    </row>
    <row r="600" spans="12:12" x14ac:dyDescent="0.45">
      <c r="L600" s="30" t="str">
        <f t="shared" si="27"/>
        <v>-</v>
      </c>
    </row>
    <row r="601" spans="12:12" x14ac:dyDescent="0.45">
      <c r="L601" s="30" t="str">
        <f t="shared" si="27"/>
        <v>-</v>
      </c>
    </row>
    <row r="602" spans="12:12" x14ac:dyDescent="0.45">
      <c r="L602" s="30" t="str">
        <f t="shared" ref="L602:L665" si="28">IFERROR(G602/F602,"-")</f>
        <v>-</v>
      </c>
    </row>
    <row r="603" spans="12:12" x14ac:dyDescent="0.45">
      <c r="L603" s="30" t="str">
        <f t="shared" si="28"/>
        <v>-</v>
      </c>
    </row>
    <row r="604" spans="12:12" x14ac:dyDescent="0.45">
      <c r="L604" s="30" t="str">
        <f t="shared" si="28"/>
        <v>-</v>
      </c>
    </row>
    <row r="605" spans="12:12" x14ac:dyDescent="0.45">
      <c r="L605" s="30" t="str">
        <f t="shared" si="28"/>
        <v>-</v>
      </c>
    </row>
    <row r="606" spans="12:12" x14ac:dyDescent="0.45">
      <c r="L606" s="30" t="str">
        <f t="shared" si="28"/>
        <v>-</v>
      </c>
    </row>
    <row r="607" spans="12:12" x14ac:dyDescent="0.45">
      <c r="L607" s="30" t="str">
        <f t="shared" si="28"/>
        <v>-</v>
      </c>
    </row>
    <row r="608" spans="12:12" x14ac:dyDescent="0.45">
      <c r="L608" s="30" t="str">
        <f t="shared" si="28"/>
        <v>-</v>
      </c>
    </row>
    <row r="609" spans="12:12" x14ac:dyDescent="0.45">
      <c r="L609" s="30" t="str">
        <f t="shared" si="28"/>
        <v>-</v>
      </c>
    </row>
    <row r="610" spans="12:12" x14ac:dyDescent="0.45">
      <c r="L610" s="30" t="str">
        <f t="shared" si="28"/>
        <v>-</v>
      </c>
    </row>
    <row r="611" spans="12:12" x14ac:dyDescent="0.45">
      <c r="L611" s="30" t="str">
        <f t="shared" si="28"/>
        <v>-</v>
      </c>
    </row>
    <row r="612" spans="12:12" x14ac:dyDescent="0.45">
      <c r="L612" s="30" t="str">
        <f t="shared" si="28"/>
        <v>-</v>
      </c>
    </row>
    <row r="613" spans="12:12" x14ac:dyDescent="0.45">
      <c r="L613" s="30" t="str">
        <f t="shared" si="28"/>
        <v>-</v>
      </c>
    </row>
    <row r="614" spans="12:12" x14ac:dyDescent="0.45">
      <c r="L614" s="30" t="str">
        <f t="shared" si="28"/>
        <v>-</v>
      </c>
    </row>
    <row r="615" spans="12:12" x14ac:dyDescent="0.45">
      <c r="L615" s="30" t="str">
        <f t="shared" si="28"/>
        <v>-</v>
      </c>
    </row>
    <row r="616" spans="12:12" x14ac:dyDescent="0.45">
      <c r="L616" s="30" t="str">
        <f t="shared" si="28"/>
        <v>-</v>
      </c>
    </row>
    <row r="617" spans="12:12" x14ac:dyDescent="0.45">
      <c r="L617" s="30" t="str">
        <f t="shared" si="28"/>
        <v>-</v>
      </c>
    </row>
    <row r="618" spans="12:12" x14ac:dyDescent="0.45">
      <c r="L618" s="30" t="str">
        <f t="shared" si="28"/>
        <v>-</v>
      </c>
    </row>
    <row r="619" spans="12:12" x14ac:dyDescent="0.45">
      <c r="L619" s="30" t="str">
        <f t="shared" si="28"/>
        <v>-</v>
      </c>
    </row>
    <row r="620" spans="12:12" x14ac:dyDescent="0.45">
      <c r="L620" s="30" t="str">
        <f t="shared" si="28"/>
        <v>-</v>
      </c>
    </row>
    <row r="621" spans="12:12" x14ac:dyDescent="0.45">
      <c r="L621" s="30" t="str">
        <f t="shared" si="28"/>
        <v>-</v>
      </c>
    </row>
    <row r="622" spans="12:12" x14ac:dyDescent="0.45">
      <c r="L622" s="30" t="str">
        <f t="shared" si="28"/>
        <v>-</v>
      </c>
    </row>
    <row r="623" spans="12:12" x14ac:dyDescent="0.45">
      <c r="L623" s="30" t="str">
        <f t="shared" si="28"/>
        <v>-</v>
      </c>
    </row>
    <row r="624" spans="12:12" x14ac:dyDescent="0.45">
      <c r="L624" s="30" t="str">
        <f t="shared" si="28"/>
        <v>-</v>
      </c>
    </row>
    <row r="625" spans="12:12" x14ac:dyDescent="0.45">
      <c r="L625" s="30" t="str">
        <f t="shared" si="28"/>
        <v>-</v>
      </c>
    </row>
    <row r="626" spans="12:12" x14ac:dyDescent="0.45">
      <c r="L626" s="30" t="str">
        <f t="shared" si="28"/>
        <v>-</v>
      </c>
    </row>
    <row r="627" spans="12:12" x14ac:dyDescent="0.45">
      <c r="L627" s="30" t="str">
        <f t="shared" si="28"/>
        <v>-</v>
      </c>
    </row>
    <row r="628" spans="12:12" x14ac:dyDescent="0.45">
      <c r="L628" s="30" t="str">
        <f t="shared" si="28"/>
        <v>-</v>
      </c>
    </row>
    <row r="629" spans="12:12" x14ac:dyDescent="0.45">
      <c r="L629" s="30" t="str">
        <f t="shared" si="28"/>
        <v>-</v>
      </c>
    </row>
    <row r="630" spans="12:12" x14ac:dyDescent="0.45">
      <c r="L630" s="30" t="str">
        <f t="shared" si="28"/>
        <v>-</v>
      </c>
    </row>
    <row r="631" spans="12:12" x14ac:dyDescent="0.45">
      <c r="L631" s="30" t="str">
        <f t="shared" si="28"/>
        <v>-</v>
      </c>
    </row>
    <row r="632" spans="12:12" x14ac:dyDescent="0.45">
      <c r="L632" s="30" t="str">
        <f t="shared" si="28"/>
        <v>-</v>
      </c>
    </row>
    <row r="633" spans="12:12" x14ac:dyDescent="0.45">
      <c r="L633" s="30" t="str">
        <f t="shared" si="28"/>
        <v>-</v>
      </c>
    </row>
    <row r="634" spans="12:12" x14ac:dyDescent="0.45">
      <c r="L634" s="30" t="str">
        <f t="shared" si="28"/>
        <v>-</v>
      </c>
    </row>
    <row r="635" spans="12:12" x14ac:dyDescent="0.45">
      <c r="L635" s="30" t="str">
        <f t="shared" si="28"/>
        <v>-</v>
      </c>
    </row>
    <row r="636" spans="12:12" x14ac:dyDescent="0.45">
      <c r="L636" s="30" t="str">
        <f t="shared" si="28"/>
        <v>-</v>
      </c>
    </row>
    <row r="637" spans="12:12" x14ac:dyDescent="0.45">
      <c r="L637" s="30" t="str">
        <f t="shared" si="28"/>
        <v>-</v>
      </c>
    </row>
    <row r="638" spans="12:12" x14ac:dyDescent="0.45">
      <c r="L638" s="30" t="str">
        <f t="shared" si="28"/>
        <v>-</v>
      </c>
    </row>
    <row r="639" spans="12:12" x14ac:dyDescent="0.45">
      <c r="L639" s="30" t="str">
        <f t="shared" si="28"/>
        <v>-</v>
      </c>
    </row>
    <row r="640" spans="12:12" x14ac:dyDescent="0.45">
      <c r="L640" s="30" t="str">
        <f t="shared" si="28"/>
        <v>-</v>
      </c>
    </row>
    <row r="641" spans="12:12" x14ac:dyDescent="0.45">
      <c r="L641" s="30" t="str">
        <f t="shared" si="28"/>
        <v>-</v>
      </c>
    </row>
    <row r="642" spans="12:12" x14ac:dyDescent="0.45">
      <c r="L642" s="30" t="str">
        <f t="shared" si="28"/>
        <v>-</v>
      </c>
    </row>
    <row r="643" spans="12:12" x14ac:dyDescent="0.45">
      <c r="L643" s="30" t="str">
        <f t="shared" si="28"/>
        <v>-</v>
      </c>
    </row>
    <row r="644" spans="12:12" x14ac:dyDescent="0.45">
      <c r="L644" s="30" t="str">
        <f t="shared" si="28"/>
        <v>-</v>
      </c>
    </row>
    <row r="645" spans="12:12" x14ac:dyDescent="0.45">
      <c r="L645" s="30" t="str">
        <f t="shared" si="28"/>
        <v>-</v>
      </c>
    </row>
    <row r="646" spans="12:12" x14ac:dyDescent="0.45">
      <c r="L646" s="30" t="str">
        <f t="shared" si="28"/>
        <v>-</v>
      </c>
    </row>
    <row r="647" spans="12:12" x14ac:dyDescent="0.45">
      <c r="L647" s="30" t="str">
        <f t="shared" si="28"/>
        <v>-</v>
      </c>
    </row>
    <row r="648" spans="12:12" x14ac:dyDescent="0.45">
      <c r="L648" s="30" t="str">
        <f t="shared" si="28"/>
        <v>-</v>
      </c>
    </row>
    <row r="649" spans="12:12" x14ac:dyDescent="0.45">
      <c r="L649" s="30" t="str">
        <f t="shared" si="28"/>
        <v>-</v>
      </c>
    </row>
    <row r="650" spans="12:12" x14ac:dyDescent="0.45">
      <c r="L650" s="30" t="str">
        <f t="shared" si="28"/>
        <v>-</v>
      </c>
    </row>
    <row r="651" spans="12:12" x14ac:dyDescent="0.45">
      <c r="L651" s="30" t="str">
        <f t="shared" si="28"/>
        <v>-</v>
      </c>
    </row>
    <row r="652" spans="12:12" x14ac:dyDescent="0.45">
      <c r="L652" s="30" t="str">
        <f t="shared" si="28"/>
        <v>-</v>
      </c>
    </row>
    <row r="653" spans="12:12" x14ac:dyDescent="0.45">
      <c r="L653" s="30" t="str">
        <f t="shared" si="28"/>
        <v>-</v>
      </c>
    </row>
    <row r="654" spans="12:12" x14ac:dyDescent="0.45">
      <c r="L654" s="30" t="str">
        <f t="shared" si="28"/>
        <v>-</v>
      </c>
    </row>
    <row r="655" spans="12:12" x14ac:dyDescent="0.45">
      <c r="L655" s="30" t="str">
        <f t="shared" si="28"/>
        <v>-</v>
      </c>
    </row>
    <row r="656" spans="12:12" x14ac:dyDescent="0.45">
      <c r="L656" s="30" t="str">
        <f t="shared" si="28"/>
        <v>-</v>
      </c>
    </row>
    <row r="657" spans="12:12" x14ac:dyDescent="0.45">
      <c r="L657" s="30" t="str">
        <f t="shared" si="28"/>
        <v>-</v>
      </c>
    </row>
    <row r="658" spans="12:12" x14ac:dyDescent="0.45">
      <c r="L658" s="30" t="str">
        <f t="shared" si="28"/>
        <v>-</v>
      </c>
    </row>
    <row r="659" spans="12:12" x14ac:dyDescent="0.45">
      <c r="L659" s="30" t="str">
        <f t="shared" si="28"/>
        <v>-</v>
      </c>
    </row>
    <row r="660" spans="12:12" x14ac:dyDescent="0.45">
      <c r="L660" s="30" t="str">
        <f t="shared" si="28"/>
        <v>-</v>
      </c>
    </row>
    <row r="661" spans="12:12" x14ac:dyDescent="0.45">
      <c r="L661" s="30" t="str">
        <f t="shared" si="28"/>
        <v>-</v>
      </c>
    </row>
    <row r="662" spans="12:12" x14ac:dyDescent="0.45">
      <c r="L662" s="30" t="str">
        <f t="shared" si="28"/>
        <v>-</v>
      </c>
    </row>
    <row r="663" spans="12:12" x14ac:dyDescent="0.45">
      <c r="L663" s="30" t="str">
        <f t="shared" si="28"/>
        <v>-</v>
      </c>
    </row>
    <row r="664" spans="12:12" x14ac:dyDescent="0.45">
      <c r="L664" s="30" t="str">
        <f t="shared" si="28"/>
        <v>-</v>
      </c>
    </row>
    <row r="665" spans="12:12" x14ac:dyDescent="0.45">
      <c r="L665" s="30" t="str">
        <f t="shared" si="28"/>
        <v>-</v>
      </c>
    </row>
    <row r="666" spans="12:12" x14ac:dyDescent="0.45">
      <c r="L666" s="30" t="str">
        <f t="shared" ref="L666:L729" si="29">IFERROR(G666/F666,"-")</f>
        <v>-</v>
      </c>
    </row>
    <row r="667" spans="12:12" x14ac:dyDescent="0.45">
      <c r="L667" s="30" t="str">
        <f t="shared" si="29"/>
        <v>-</v>
      </c>
    </row>
    <row r="668" spans="12:12" x14ac:dyDescent="0.45">
      <c r="L668" s="30" t="str">
        <f t="shared" si="29"/>
        <v>-</v>
      </c>
    </row>
    <row r="669" spans="12:12" x14ac:dyDescent="0.45">
      <c r="L669" s="30" t="str">
        <f t="shared" si="29"/>
        <v>-</v>
      </c>
    </row>
    <row r="670" spans="12:12" x14ac:dyDescent="0.45">
      <c r="L670" s="30" t="str">
        <f t="shared" si="29"/>
        <v>-</v>
      </c>
    </row>
    <row r="671" spans="12:12" x14ac:dyDescent="0.45">
      <c r="L671" s="30" t="str">
        <f t="shared" si="29"/>
        <v>-</v>
      </c>
    </row>
    <row r="672" spans="12:12" x14ac:dyDescent="0.45">
      <c r="L672" s="30" t="str">
        <f t="shared" si="29"/>
        <v>-</v>
      </c>
    </row>
    <row r="673" spans="12:12" x14ac:dyDescent="0.45">
      <c r="L673" s="30" t="str">
        <f t="shared" si="29"/>
        <v>-</v>
      </c>
    </row>
    <row r="674" spans="12:12" x14ac:dyDescent="0.45">
      <c r="L674" s="30" t="str">
        <f t="shared" si="29"/>
        <v>-</v>
      </c>
    </row>
    <row r="675" spans="12:12" x14ac:dyDescent="0.45">
      <c r="L675" s="30" t="str">
        <f t="shared" si="29"/>
        <v>-</v>
      </c>
    </row>
    <row r="676" spans="12:12" x14ac:dyDescent="0.45">
      <c r="L676" s="30" t="str">
        <f t="shared" si="29"/>
        <v>-</v>
      </c>
    </row>
    <row r="677" spans="12:12" x14ac:dyDescent="0.45">
      <c r="L677" s="30" t="str">
        <f t="shared" si="29"/>
        <v>-</v>
      </c>
    </row>
    <row r="678" spans="12:12" x14ac:dyDescent="0.45">
      <c r="L678" s="30" t="str">
        <f t="shared" si="29"/>
        <v>-</v>
      </c>
    </row>
    <row r="679" spans="12:12" x14ac:dyDescent="0.45">
      <c r="L679" s="30" t="str">
        <f t="shared" si="29"/>
        <v>-</v>
      </c>
    </row>
    <row r="680" spans="12:12" x14ac:dyDescent="0.45">
      <c r="L680" s="30" t="str">
        <f t="shared" si="29"/>
        <v>-</v>
      </c>
    </row>
    <row r="681" spans="12:12" x14ac:dyDescent="0.45">
      <c r="L681" s="30" t="str">
        <f t="shared" si="29"/>
        <v>-</v>
      </c>
    </row>
    <row r="682" spans="12:12" x14ac:dyDescent="0.45">
      <c r="L682" s="30" t="str">
        <f t="shared" si="29"/>
        <v>-</v>
      </c>
    </row>
    <row r="683" spans="12:12" x14ac:dyDescent="0.45">
      <c r="L683" s="30" t="str">
        <f t="shared" si="29"/>
        <v>-</v>
      </c>
    </row>
    <row r="684" spans="12:12" x14ac:dyDescent="0.45">
      <c r="L684" s="30" t="str">
        <f t="shared" si="29"/>
        <v>-</v>
      </c>
    </row>
    <row r="685" spans="12:12" x14ac:dyDescent="0.45">
      <c r="L685" s="30" t="str">
        <f t="shared" si="29"/>
        <v>-</v>
      </c>
    </row>
    <row r="686" spans="12:12" x14ac:dyDescent="0.45">
      <c r="L686" s="30" t="str">
        <f t="shared" si="29"/>
        <v>-</v>
      </c>
    </row>
    <row r="687" spans="12:12" x14ac:dyDescent="0.45">
      <c r="L687" s="30" t="str">
        <f t="shared" si="29"/>
        <v>-</v>
      </c>
    </row>
    <row r="688" spans="12:12" x14ac:dyDescent="0.45">
      <c r="L688" s="30" t="str">
        <f t="shared" si="29"/>
        <v>-</v>
      </c>
    </row>
    <row r="689" spans="12:12" x14ac:dyDescent="0.45">
      <c r="L689" s="30" t="str">
        <f t="shared" si="29"/>
        <v>-</v>
      </c>
    </row>
    <row r="690" spans="12:12" x14ac:dyDescent="0.45">
      <c r="L690" s="30" t="str">
        <f t="shared" si="29"/>
        <v>-</v>
      </c>
    </row>
    <row r="691" spans="12:12" x14ac:dyDescent="0.45">
      <c r="L691" s="30" t="str">
        <f t="shared" si="29"/>
        <v>-</v>
      </c>
    </row>
    <row r="692" spans="12:12" x14ac:dyDescent="0.45">
      <c r="L692" s="30" t="str">
        <f t="shared" si="29"/>
        <v>-</v>
      </c>
    </row>
    <row r="693" spans="12:12" x14ac:dyDescent="0.45">
      <c r="L693" s="30" t="str">
        <f t="shared" si="29"/>
        <v>-</v>
      </c>
    </row>
    <row r="694" spans="12:12" x14ac:dyDescent="0.45">
      <c r="L694" s="30" t="str">
        <f t="shared" si="29"/>
        <v>-</v>
      </c>
    </row>
    <row r="695" spans="12:12" x14ac:dyDescent="0.45">
      <c r="L695" s="30" t="str">
        <f t="shared" si="29"/>
        <v>-</v>
      </c>
    </row>
    <row r="696" spans="12:12" x14ac:dyDescent="0.45">
      <c r="L696" s="30" t="str">
        <f t="shared" si="29"/>
        <v>-</v>
      </c>
    </row>
    <row r="697" spans="12:12" x14ac:dyDescent="0.45">
      <c r="L697" s="30" t="str">
        <f t="shared" si="29"/>
        <v>-</v>
      </c>
    </row>
    <row r="698" spans="12:12" x14ac:dyDescent="0.45">
      <c r="L698" s="30" t="str">
        <f t="shared" si="29"/>
        <v>-</v>
      </c>
    </row>
    <row r="699" spans="12:12" x14ac:dyDescent="0.45">
      <c r="L699" s="30" t="str">
        <f t="shared" si="29"/>
        <v>-</v>
      </c>
    </row>
    <row r="700" spans="12:12" x14ac:dyDescent="0.45">
      <c r="L700" s="30" t="str">
        <f t="shared" si="29"/>
        <v>-</v>
      </c>
    </row>
    <row r="701" spans="12:12" x14ac:dyDescent="0.45">
      <c r="L701" s="30" t="str">
        <f t="shared" si="29"/>
        <v>-</v>
      </c>
    </row>
    <row r="702" spans="12:12" x14ac:dyDescent="0.45">
      <c r="L702" s="30" t="str">
        <f t="shared" si="29"/>
        <v>-</v>
      </c>
    </row>
    <row r="703" spans="12:12" x14ac:dyDescent="0.45">
      <c r="L703" s="30" t="str">
        <f t="shared" si="29"/>
        <v>-</v>
      </c>
    </row>
    <row r="704" spans="12:12" x14ac:dyDescent="0.45">
      <c r="L704" s="30" t="str">
        <f t="shared" si="29"/>
        <v>-</v>
      </c>
    </row>
    <row r="705" spans="12:12" x14ac:dyDescent="0.45">
      <c r="L705" s="30" t="str">
        <f t="shared" si="29"/>
        <v>-</v>
      </c>
    </row>
    <row r="706" spans="12:12" x14ac:dyDescent="0.45">
      <c r="L706" s="30" t="str">
        <f t="shared" si="29"/>
        <v>-</v>
      </c>
    </row>
    <row r="707" spans="12:12" x14ac:dyDescent="0.45">
      <c r="L707" s="30" t="str">
        <f t="shared" si="29"/>
        <v>-</v>
      </c>
    </row>
    <row r="708" spans="12:12" x14ac:dyDescent="0.45">
      <c r="L708" s="30" t="str">
        <f t="shared" si="29"/>
        <v>-</v>
      </c>
    </row>
    <row r="709" spans="12:12" x14ac:dyDescent="0.45">
      <c r="L709" s="30" t="str">
        <f t="shared" si="29"/>
        <v>-</v>
      </c>
    </row>
    <row r="710" spans="12:12" x14ac:dyDescent="0.45">
      <c r="L710" s="30" t="str">
        <f t="shared" si="29"/>
        <v>-</v>
      </c>
    </row>
    <row r="711" spans="12:12" x14ac:dyDescent="0.45">
      <c r="L711" s="30" t="str">
        <f t="shared" si="29"/>
        <v>-</v>
      </c>
    </row>
    <row r="712" spans="12:12" x14ac:dyDescent="0.45">
      <c r="L712" s="30" t="str">
        <f t="shared" si="29"/>
        <v>-</v>
      </c>
    </row>
    <row r="713" spans="12:12" x14ac:dyDescent="0.45">
      <c r="L713" s="30" t="str">
        <f t="shared" si="29"/>
        <v>-</v>
      </c>
    </row>
    <row r="714" spans="12:12" x14ac:dyDescent="0.45">
      <c r="L714" s="30" t="str">
        <f t="shared" si="29"/>
        <v>-</v>
      </c>
    </row>
    <row r="715" spans="12:12" x14ac:dyDescent="0.45">
      <c r="L715" s="30" t="str">
        <f t="shared" si="29"/>
        <v>-</v>
      </c>
    </row>
    <row r="716" spans="12:12" x14ac:dyDescent="0.45">
      <c r="L716" s="30" t="str">
        <f t="shared" si="29"/>
        <v>-</v>
      </c>
    </row>
    <row r="717" spans="12:12" x14ac:dyDescent="0.45">
      <c r="L717" s="30" t="str">
        <f t="shared" si="29"/>
        <v>-</v>
      </c>
    </row>
    <row r="718" spans="12:12" x14ac:dyDescent="0.45">
      <c r="L718" s="30" t="str">
        <f t="shared" si="29"/>
        <v>-</v>
      </c>
    </row>
    <row r="719" spans="12:12" x14ac:dyDescent="0.45">
      <c r="L719" s="30" t="str">
        <f t="shared" si="29"/>
        <v>-</v>
      </c>
    </row>
    <row r="720" spans="12:12" x14ac:dyDescent="0.45">
      <c r="L720" s="30" t="str">
        <f t="shared" si="29"/>
        <v>-</v>
      </c>
    </row>
    <row r="721" spans="12:12" x14ac:dyDescent="0.45">
      <c r="L721" s="30" t="str">
        <f t="shared" si="29"/>
        <v>-</v>
      </c>
    </row>
    <row r="722" spans="12:12" x14ac:dyDescent="0.45">
      <c r="L722" s="30" t="str">
        <f t="shared" si="29"/>
        <v>-</v>
      </c>
    </row>
    <row r="723" spans="12:12" x14ac:dyDescent="0.45">
      <c r="L723" s="30" t="str">
        <f t="shared" si="29"/>
        <v>-</v>
      </c>
    </row>
    <row r="724" spans="12:12" x14ac:dyDescent="0.45">
      <c r="L724" s="30" t="str">
        <f t="shared" si="29"/>
        <v>-</v>
      </c>
    </row>
    <row r="725" spans="12:12" x14ac:dyDescent="0.45">
      <c r="L725" s="30" t="str">
        <f t="shared" si="29"/>
        <v>-</v>
      </c>
    </row>
    <row r="726" spans="12:12" x14ac:dyDescent="0.45">
      <c r="L726" s="30" t="str">
        <f t="shared" si="29"/>
        <v>-</v>
      </c>
    </row>
    <row r="727" spans="12:12" x14ac:dyDescent="0.45">
      <c r="L727" s="30" t="str">
        <f t="shared" si="29"/>
        <v>-</v>
      </c>
    </row>
    <row r="728" spans="12:12" x14ac:dyDescent="0.45">
      <c r="L728" s="30" t="str">
        <f t="shared" si="29"/>
        <v>-</v>
      </c>
    </row>
    <row r="729" spans="12:12" x14ac:dyDescent="0.45">
      <c r="L729" s="30" t="str">
        <f t="shared" si="29"/>
        <v>-</v>
      </c>
    </row>
    <row r="730" spans="12:12" x14ac:dyDescent="0.45">
      <c r="L730" s="30" t="str">
        <f t="shared" ref="L730:L793" si="30">IFERROR(G730/F730,"-")</f>
        <v>-</v>
      </c>
    </row>
    <row r="731" spans="12:12" x14ac:dyDescent="0.45">
      <c r="L731" s="30" t="str">
        <f t="shared" si="30"/>
        <v>-</v>
      </c>
    </row>
    <row r="732" spans="12:12" x14ac:dyDescent="0.45">
      <c r="L732" s="30" t="str">
        <f t="shared" si="30"/>
        <v>-</v>
      </c>
    </row>
    <row r="733" spans="12:12" x14ac:dyDescent="0.45">
      <c r="L733" s="30" t="str">
        <f t="shared" si="30"/>
        <v>-</v>
      </c>
    </row>
    <row r="734" spans="12:12" x14ac:dyDescent="0.45">
      <c r="L734" s="30" t="str">
        <f t="shared" si="30"/>
        <v>-</v>
      </c>
    </row>
    <row r="735" spans="12:12" x14ac:dyDescent="0.45">
      <c r="L735" s="30" t="str">
        <f t="shared" si="30"/>
        <v>-</v>
      </c>
    </row>
    <row r="736" spans="12:12" x14ac:dyDescent="0.45">
      <c r="L736" s="30" t="str">
        <f t="shared" si="30"/>
        <v>-</v>
      </c>
    </row>
    <row r="737" spans="12:12" x14ac:dyDescent="0.45">
      <c r="L737" s="30" t="str">
        <f t="shared" si="30"/>
        <v>-</v>
      </c>
    </row>
    <row r="738" spans="12:12" x14ac:dyDescent="0.45">
      <c r="L738" s="30" t="str">
        <f t="shared" si="30"/>
        <v>-</v>
      </c>
    </row>
    <row r="739" spans="12:12" x14ac:dyDescent="0.45">
      <c r="L739" s="30" t="str">
        <f t="shared" si="30"/>
        <v>-</v>
      </c>
    </row>
    <row r="740" spans="12:12" x14ac:dyDescent="0.45">
      <c r="L740" s="30" t="str">
        <f t="shared" si="30"/>
        <v>-</v>
      </c>
    </row>
    <row r="741" spans="12:12" x14ac:dyDescent="0.45">
      <c r="L741" s="30" t="str">
        <f t="shared" si="30"/>
        <v>-</v>
      </c>
    </row>
    <row r="742" spans="12:12" x14ac:dyDescent="0.45">
      <c r="L742" s="30" t="str">
        <f t="shared" si="30"/>
        <v>-</v>
      </c>
    </row>
    <row r="743" spans="12:12" x14ac:dyDescent="0.45">
      <c r="L743" s="30" t="str">
        <f t="shared" si="30"/>
        <v>-</v>
      </c>
    </row>
    <row r="744" spans="12:12" x14ac:dyDescent="0.45">
      <c r="L744" s="30" t="str">
        <f t="shared" si="30"/>
        <v>-</v>
      </c>
    </row>
    <row r="745" spans="12:12" x14ac:dyDescent="0.45">
      <c r="L745" s="30" t="str">
        <f t="shared" si="30"/>
        <v>-</v>
      </c>
    </row>
    <row r="746" spans="12:12" x14ac:dyDescent="0.45">
      <c r="L746" s="30" t="str">
        <f t="shared" si="30"/>
        <v>-</v>
      </c>
    </row>
    <row r="747" spans="12:12" x14ac:dyDescent="0.45">
      <c r="L747" s="30" t="str">
        <f t="shared" si="30"/>
        <v>-</v>
      </c>
    </row>
    <row r="748" spans="12:12" x14ac:dyDescent="0.45">
      <c r="L748" s="30" t="str">
        <f t="shared" si="30"/>
        <v>-</v>
      </c>
    </row>
    <row r="749" spans="12:12" x14ac:dyDescent="0.45">
      <c r="L749" s="30" t="str">
        <f t="shared" si="30"/>
        <v>-</v>
      </c>
    </row>
    <row r="750" spans="12:12" x14ac:dyDescent="0.45">
      <c r="L750" s="30" t="str">
        <f t="shared" si="30"/>
        <v>-</v>
      </c>
    </row>
    <row r="751" spans="12:12" x14ac:dyDescent="0.45">
      <c r="L751" s="30" t="str">
        <f t="shared" si="30"/>
        <v>-</v>
      </c>
    </row>
    <row r="752" spans="12:12" x14ac:dyDescent="0.45">
      <c r="L752" s="30" t="str">
        <f t="shared" si="30"/>
        <v>-</v>
      </c>
    </row>
    <row r="753" spans="12:12" x14ac:dyDescent="0.45">
      <c r="L753" s="30" t="str">
        <f t="shared" si="30"/>
        <v>-</v>
      </c>
    </row>
    <row r="754" spans="12:12" x14ac:dyDescent="0.45">
      <c r="L754" s="30" t="str">
        <f t="shared" si="30"/>
        <v>-</v>
      </c>
    </row>
    <row r="755" spans="12:12" x14ac:dyDescent="0.45">
      <c r="L755" s="30" t="str">
        <f t="shared" si="30"/>
        <v>-</v>
      </c>
    </row>
    <row r="756" spans="12:12" x14ac:dyDescent="0.45">
      <c r="L756" s="30" t="str">
        <f t="shared" si="30"/>
        <v>-</v>
      </c>
    </row>
    <row r="757" spans="12:12" x14ac:dyDescent="0.45">
      <c r="L757" s="30" t="str">
        <f t="shared" si="30"/>
        <v>-</v>
      </c>
    </row>
    <row r="758" spans="12:12" x14ac:dyDescent="0.45">
      <c r="L758" s="30" t="str">
        <f t="shared" si="30"/>
        <v>-</v>
      </c>
    </row>
    <row r="759" spans="12:12" x14ac:dyDescent="0.45">
      <c r="L759" s="30" t="str">
        <f t="shared" si="30"/>
        <v>-</v>
      </c>
    </row>
    <row r="760" spans="12:12" x14ac:dyDescent="0.45">
      <c r="L760" s="30" t="str">
        <f t="shared" si="30"/>
        <v>-</v>
      </c>
    </row>
    <row r="761" spans="12:12" x14ac:dyDescent="0.45">
      <c r="L761" s="30" t="str">
        <f t="shared" si="30"/>
        <v>-</v>
      </c>
    </row>
    <row r="762" spans="12:12" x14ac:dyDescent="0.45">
      <c r="L762" s="30" t="str">
        <f t="shared" si="30"/>
        <v>-</v>
      </c>
    </row>
    <row r="763" spans="12:12" x14ac:dyDescent="0.45">
      <c r="L763" s="30" t="str">
        <f t="shared" si="30"/>
        <v>-</v>
      </c>
    </row>
    <row r="764" spans="12:12" x14ac:dyDescent="0.45">
      <c r="L764" s="30" t="str">
        <f t="shared" si="30"/>
        <v>-</v>
      </c>
    </row>
    <row r="765" spans="12:12" x14ac:dyDescent="0.45">
      <c r="L765" s="30" t="str">
        <f t="shared" si="30"/>
        <v>-</v>
      </c>
    </row>
    <row r="766" spans="12:12" x14ac:dyDescent="0.45">
      <c r="L766" s="30" t="str">
        <f t="shared" si="30"/>
        <v>-</v>
      </c>
    </row>
    <row r="767" spans="12:12" x14ac:dyDescent="0.45">
      <c r="L767" s="30" t="str">
        <f t="shared" si="30"/>
        <v>-</v>
      </c>
    </row>
    <row r="768" spans="12:12" x14ac:dyDescent="0.45">
      <c r="L768" s="30" t="str">
        <f t="shared" si="30"/>
        <v>-</v>
      </c>
    </row>
    <row r="769" spans="12:12" x14ac:dyDescent="0.45">
      <c r="L769" s="30" t="str">
        <f t="shared" si="30"/>
        <v>-</v>
      </c>
    </row>
    <row r="770" spans="12:12" x14ac:dyDescent="0.45">
      <c r="L770" s="30" t="str">
        <f t="shared" si="30"/>
        <v>-</v>
      </c>
    </row>
    <row r="771" spans="12:12" x14ac:dyDescent="0.45">
      <c r="L771" s="30" t="str">
        <f t="shared" si="30"/>
        <v>-</v>
      </c>
    </row>
    <row r="772" spans="12:12" x14ac:dyDescent="0.45">
      <c r="L772" s="30" t="str">
        <f t="shared" si="30"/>
        <v>-</v>
      </c>
    </row>
    <row r="773" spans="12:12" x14ac:dyDescent="0.45">
      <c r="L773" s="30" t="str">
        <f t="shared" si="30"/>
        <v>-</v>
      </c>
    </row>
    <row r="774" spans="12:12" x14ac:dyDescent="0.45">
      <c r="L774" s="30" t="str">
        <f t="shared" si="30"/>
        <v>-</v>
      </c>
    </row>
    <row r="775" spans="12:12" x14ac:dyDescent="0.45">
      <c r="L775" s="30" t="str">
        <f t="shared" si="30"/>
        <v>-</v>
      </c>
    </row>
    <row r="776" spans="12:12" x14ac:dyDescent="0.45">
      <c r="L776" s="30" t="str">
        <f t="shared" si="30"/>
        <v>-</v>
      </c>
    </row>
    <row r="777" spans="12:12" x14ac:dyDescent="0.45">
      <c r="L777" s="30" t="str">
        <f t="shared" si="30"/>
        <v>-</v>
      </c>
    </row>
    <row r="778" spans="12:12" x14ac:dyDescent="0.45">
      <c r="L778" s="30" t="str">
        <f t="shared" si="30"/>
        <v>-</v>
      </c>
    </row>
    <row r="779" spans="12:12" x14ac:dyDescent="0.45">
      <c r="L779" s="30" t="str">
        <f t="shared" si="30"/>
        <v>-</v>
      </c>
    </row>
    <row r="780" spans="12:12" x14ac:dyDescent="0.45">
      <c r="L780" s="30" t="str">
        <f t="shared" si="30"/>
        <v>-</v>
      </c>
    </row>
    <row r="781" spans="12:12" x14ac:dyDescent="0.45">
      <c r="L781" s="30" t="str">
        <f t="shared" si="30"/>
        <v>-</v>
      </c>
    </row>
    <row r="782" spans="12:12" x14ac:dyDescent="0.45">
      <c r="L782" s="30" t="str">
        <f t="shared" si="30"/>
        <v>-</v>
      </c>
    </row>
    <row r="783" spans="12:12" x14ac:dyDescent="0.45">
      <c r="L783" s="30" t="str">
        <f t="shared" si="30"/>
        <v>-</v>
      </c>
    </row>
    <row r="784" spans="12:12" x14ac:dyDescent="0.45">
      <c r="L784" s="30" t="str">
        <f t="shared" si="30"/>
        <v>-</v>
      </c>
    </row>
    <row r="785" spans="12:12" x14ac:dyDescent="0.45">
      <c r="L785" s="30" t="str">
        <f t="shared" si="30"/>
        <v>-</v>
      </c>
    </row>
    <row r="786" spans="12:12" x14ac:dyDescent="0.45">
      <c r="L786" s="30" t="str">
        <f t="shared" si="30"/>
        <v>-</v>
      </c>
    </row>
    <row r="787" spans="12:12" x14ac:dyDescent="0.45">
      <c r="L787" s="30" t="str">
        <f t="shared" si="30"/>
        <v>-</v>
      </c>
    </row>
    <row r="788" spans="12:12" x14ac:dyDescent="0.45">
      <c r="L788" s="30" t="str">
        <f t="shared" si="30"/>
        <v>-</v>
      </c>
    </row>
    <row r="789" spans="12:12" x14ac:dyDescent="0.45">
      <c r="L789" s="30" t="str">
        <f t="shared" si="30"/>
        <v>-</v>
      </c>
    </row>
    <row r="790" spans="12:12" x14ac:dyDescent="0.45">
      <c r="L790" s="30" t="str">
        <f t="shared" si="30"/>
        <v>-</v>
      </c>
    </row>
    <row r="791" spans="12:12" x14ac:dyDescent="0.45">
      <c r="L791" s="30" t="str">
        <f t="shared" si="30"/>
        <v>-</v>
      </c>
    </row>
    <row r="792" spans="12:12" x14ac:dyDescent="0.45">
      <c r="L792" s="30" t="str">
        <f t="shared" si="30"/>
        <v>-</v>
      </c>
    </row>
    <row r="793" spans="12:12" x14ac:dyDescent="0.45">
      <c r="L793" s="30" t="str">
        <f t="shared" si="30"/>
        <v>-</v>
      </c>
    </row>
    <row r="794" spans="12:12" x14ac:dyDescent="0.45">
      <c r="L794" s="30" t="str">
        <f t="shared" ref="L794:L857" si="31">IFERROR(G794/F794,"-")</f>
        <v>-</v>
      </c>
    </row>
    <row r="795" spans="12:12" x14ac:dyDescent="0.45">
      <c r="L795" s="30" t="str">
        <f t="shared" si="31"/>
        <v>-</v>
      </c>
    </row>
    <row r="796" spans="12:12" x14ac:dyDescent="0.45">
      <c r="L796" s="30" t="str">
        <f t="shared" si="31"/>
        <v>-</v>
      </c>
    </row>
    <row r="797" spans="12:12" x14ac:dyDescent="0.45">
      <c r="L797" s="30" t="str">
        <f t="shared" si="31"/>
        <v>-</v>
      </c>
    </row>
    <row r="798" spans="12:12" x14ac:dyDescent="0.45">
      <c r="L798" s="30" t="str">
        <f t="shared" si="31"/>
        <v>-</v>
      </c>
    </row>
    <row r="799" spans="12:12" x14ac:dyDescent="0.45">
      <c r="L799" s="30" t="str">
        <f t="shared" si="31"/>
        <v>-</v>
      </c>
    </row>
    <row r="800" spans="12:12" x14ac:dyDescent="0.45">
      <c r="L800" s="30" t="str">
        <f t="shared" si="31"/>
        <v>-</v>
      </c>
    </row>
    <row r="801" spans="12:12" x14ac:dyDescent="0.45">
      <c r="L801" s="30" t="str">
        <f t="shared" si="31"/>
        <v>-</v>
      </c>
    </row>
    <row r="802" spans="12:12" x14ac:dyDescent="0.45">
      <c r="L802" s="30" t="str">
        <f t="shared" si="31"/>
        <v>-</v>
      </c>
    </row>
    <row r="803" spans="12:12" x14ac:dyDescent="0.45">
      <c r="L803" s="30" t="str">
        <f t="shared" si="31"/>
        <v>-</v>
      </c>
    </row>
    <row r="804" spans="12:12" x14ac:dyDescent="0.45">
      <c r="L804" s="30" t="str">
        <f t="shared" si="31"/>
        <v>-</v>
      </c>
    </row>
    <row r="805" spans="12:12" x14ac:dyDescent="0.45">
      <c r="L805" s="30" t="str">
        <f t="shared" si="31"/>
        <v>-</v>
      </c>
    </row>
    <row r="806" spans="12:12" x14ac:dyDescent="0.45">
      <c r="L806" s="30" t="str">
        <f t="shared" si="31"/>
        <v>-</v>
      </c>
    </row>
    <row r="807" spans="12:12" x14ac:dyDescent="0.45">
      <c r="L807" s="30" t="str">
        <f t="shared" si="31"/>
        <v>-</v>
      </c>
    </row>
    <row r="808" spans="12:12" x14ac:dyDescent="0.45">
      <c r="L808" s="30" t="str">
        <f t="shared" si="31"/>
        <v>-</v>
      </c>
    </row>
    <row r="809" spans="12:12" x14ac:dyDescent="0.45">
      <c r="L809" s="30" t="str">
        <f t="shared" si="31"/>
        <v>-</v>
      </c>
    </row>
    <row r="810" spans="12:12" x14ac:dyDescent="0.45">
      <c r="L810" s="30" t="str">
        <f t="shared" si="31"/>
        <v>-</v>
      </c>
    </row>
    <row r="811" spans="12:12" x14ac:dyDescent="0.45">
      <c r="L811" s="30" t="str">
        <f t="shared" si="31"/>
        <v>-</v>
      </c>
    </row>
    <row r="812" spans="12:12" x14ac:dyDescent="0.45">
      <c r="L812" s="30" t="str">
        <f t="shared" si="31"/>
        <v>-</v>
      </c>
    </row>
    <row r="813" spans="12:12" x14ac:dyDescent="0.45">
      <c r="L813" s="30" t="str">
        <f t="shared" si="31"/>
        <v>-</v>
      </c>
    </row>
    <row r="814" spans="12:12" x14ac:dyDescent="0.45">
      <c r="L814" s="30" t="str">
        <f t="shared" si="31"/>
        <v>-</v>
      </c>
    </row>
    <row r="815" spans="12:12" x14ac:dyDescent="0.45">
      <c r="L815" s="30" t="str">
        <f t="shared" si="31"/>
        <v>-</v>
      </c>
    </row>
    <row r="816" spans="12:12" x14ac:dyDescent="0.45">
      <c r="L816" s="30" t="str">
        <f t="shared" si="31"/>
        <v>-</v>
      </c>
    </row>
    <row r="817" spans="12:12" x14ac:dyDescent="0.45">
      <c r="L817" s="30" t="str">
        <f t="shared" si="31"/>
        <v>-</v>
      </c>
    </row>
    <row r="818" spans="12:12" x14ac:dyDescent="0.45">
      <c r="L818" s="30" t="str">
        <f t="shared" si="31"/>
        <v>-</v>
      </c>
    </row>
    <row r="819" spans="12:12" x14ac:dyDescent="0.45">
      <c r="L819" s="30" t="str">
        <f t="shared" si="31"/>
        <v>-</v>
      </c>
    </row>
    <row r="820" spans="12:12" x14ac:dyDescent="0.45">
      <c r="L820" s="30" t="str">
        <f t="shared" si="31"/>
        <v>-</v>
      </c>
    </row>
    <row r="821" spans="12:12" x14ac:dyDescent="0.45">
      <c r="L821" s="30" t="str">
        <f t="shared" si="31"/>
        <v>-</v>
      </c>
    </row>
    <row r="822" spans="12:12" x14ac:dyDescent="0.45">
      <c r="L822" s="30" t="str">
        <f t="shared" si="31"/>
        <v>-</v>
      </c>
    </row>
    <row r="823" spans="12:12" x14ac:dyDescent="0.45">
      <c r="L823" s="30" t="str">
        <f t="shared" si="31"/>
        <v>-</v>
      </c>
    </row>
    <row r="824" spans="12:12" x14ac:dyDescent="0.45">
      <c r="L824" s="30" t="str">
        <f t="shared" si="31"/>
        <v>-</v>
      </c>
    </row>
    <row r="825" spans="12:12" x14ac:dyDescent="0.45">
      <c r="L825" s="30" t="str">
        <f t="shared" si="31"/>
        <v>-</v>
      </c>
    </row>
    <row r="826" spans="12:12" x14ac:dyDescent="0.45">
      <c r="L826" s="30" t="str">
        <f t="shared" si="31"/>
        <v>-</v>
      </c>
    </row>
    <row r="827" spans="12:12" x14ac:dyDescent="0.45">
      <c r="L827" s="30" t="str">
        <f t="shared" si="31"/>
        <v>-</v>
      </c>
    </row>
    <row r="828" spans="12:12" x14ac:dyDescent="0.45">
      <c r="L828" s="30" t="str">
        <f t="shared" si="31"/>
        <v>-</v>
      </c>
    </row>
    <row r="829" spans="12:12" x14ac:dyDescent="0.45">
      <c r="L829" s="30" t="str">
        <f t="shared" si="31"/>
        <v>-</v>
      </c>
    </row>
    <row r="830" spans="12:12" x14ac:dyDescent="0.45">
      <c r="L830" s="30" t="str">
        <f t="shared" si="31"/>
        <v>-</v>
      </c>
    </row>
    <row r="831" spans="12:12" x14ac:dyDescent="0.45">
      <c r="L831" s="30" t="str">
        <f t="shared" si="31"/>
        <v>-</v>
      </c>
    </row>
    <row r="832" spans="12:12" x14ac:dyDescent="0.45">
      <c r="L832" s="30" t="str">
        <f t="shared" si="31"/>
        <v>-</v>
      </c>
    </row>
    <row r="833" spans="12:12" x14ac:dyDescent="0.45">
      <c r="L833" s="30" t="str">
        <f t="shared" si="31"/>
        <v>-</v>
      </c>
    </row>
    <row r="834" spans="12:12" x14ac:dyDescent="0.45">
      <c r="L834" s="30" t="str">
        <f t="shared" si="31"/>
        <v>-</v>
      </c>
    </row>
    <row r="835" spans="12:12" x14ac:dyDescent="0.45">
      <c r="L835" s="30" t="str">
        <f t="shared" si="31"/>
        <v>-</v>
      </c>
    </row>
    <row r="836" spans="12:12" x14ac:dyDescent="0.45">
      <c r="L836" s="30" t="str">
        <f t="shared" si="31"/>
        <v>-</v>
      </c>
    </row>
    <row r="837" spans="12:12" x14ac:dyDescent="0.45">
      <c r="L837" s="30" t="str">
        <f t="shared" si="31"/>
        <v>-</v>
      </c>
    </row>
    <row r="838" spans="12:12" x14ac:dyDescent="0.45">
      <c r="L838" s="30" t="str">
        <f t="shared" si="31"/>
        <v>-</v>
      </c>
    </row>
    <row r="839" spans="12:12" x14ac:dyDescent="0.45">
      <c r="L839" s="30" t="str">
        <f t="shared" si="31"/>
        <v>-</v>
      </c>
    </row>
    <row r="840" spans="12:12" x14ac:dyDescent="0.45">
      <c r="L840" s="30" t="str">
        <f t="shared" si="31"/>
        <v>-</v>
      </c>
    </row>
    <row r="841" spans="12:12" x14ac:dyDescent="0.45">
      <c r="L841" s="30" t="str">
        <f t="shared" si="31"/>
        <v>-</v>
      </c>
    </row>
    <row r="842" spans="12:12" x14ac:dyDescent="0.45">
      <c r="L842" s="30" t="str">
        <f t="shared" si="31"/>
        <v>-</v>
      </c>
    </row>
    <row r="843" spans="12:12" x14ac:dyDescent="0.45">
      <c r="L843" s="30" t="str">
        <f t="shared" si="31"/>
        <v>-</v>
      </c>
    </row>
    <row r="844" spans="12:12" x14ac:dyDescent="0.45">
      <c r="L844" s="30" t="str">
        <f t="shared" si="31"/>
        <v>-</v>
      </c>
    </row>
    <row r="845" spans="12:12" x14ac:dyDescent="0.45">
      <c r="L845" s="30" t="str">
        <f t="shared" si="31"/>
        <v>-</v>
      </c>
    </row>
    <row r="846" spans="12:12" x14ac:dyDescent="0.45">
      <c r="L846" s="30" t="str">
        <f t="shared" si="31"/>
        <v>-</v>
      </c>
    </row>
    <row r="847" spans="12:12" x14ac:dyDescent="0.45">
      <c r="L847" s="30" t="str">
        <f t="shared" si="31"/>
        <v>-</v>
      </c>
    </row>
    <row r="848" spans="12:12" x14ac:dyDescent="0.45">
      <c r="L848" s="30" t="str">
        <f t="shared" si="31"/>
        <v>-</v>
      </c>
    </row>
    <row r="849" spans="12:12" x14ac:dyDescent="0.45">
      <c r="L849" s="30" t="str">
        <f t="shared" si="31"/>
        <v>-</v>
      </c>
    </row>
    <row r="850" spans="12:12" x14ac:dyDescent="0.45">
      <c r="L850" s="30" t="str">
        <f t="shared" si="31"/>
        <v>-</v>
      </c>
    </row>
    <row r="851" spans="12:12" x14ac:dyDescent="0.45">
      <c r="L851" s="30" t="str">
        <f t="shared" si="31"/>
        <v>-</v>
      </c>
    </row>
    <row r="852" spans="12:12" x14ac:dyDescent="0.45">
      <c r="L852" s="30" t="str">
        <f t="shared" si="31"/>
        <v>-</v>
      </c>
    </row>
    <row r="853" spans="12:12" x14ac:dyDescent="0.45">
      <c r="L853" s="30" t="str">
        <f t="shared" si="31"/>
        <v>-</v>
      </c>
    </row>
    <row r="854" spans="12:12" x14ac:dyDescent="0.45">
      <c r="L854" s="30" t="str">
        <f t="shared" si="31"/>
        <v>-</v>
      </c>
    </row>
    <row r="855" spans="12:12" x14ac:dyDescent="0.45">
      <c r="L855" s="30" t="str">
        <f t="shared" si="31"/>
        <v>-</v>
      </c>
    </row>
    <row r="856" spans="12:12" x14ac:dyDescent="0.45">
      <c r="L856" s="30" t="str">
        <f t="shared" si="31"/>
        <v>-</v>
      </c>
    </row>
    <row r="857" spans="12:12" x14ac:dyDescent="0.45">
      <c r="L857" s="30" t="str">
        <f t="shared" si="31"/>
        <v>-</v>
      </c>
    </row>
    <row r="858" spans="12:12" x14ac:dyDescent="0.45">
      <c r="L858" s="30" t="str">
        <f t="shared" ref="L858:L921" si="32">IFERROR(G858/F858,"-")</f>
        <v>-</v>
      </c>
    </row>
    <row r="859" spans="12:12" x14ac:dyDescent="0.45">
      <c r="L859" s="30" t="str">
        <f t="shared" si="32"/>
        <v>-</v>
      </c>
    </row>
    <row r="860" spans="12:12" x14ac:dyDescent="0.45">
      <c r="L860" s="30" t="str">
        <f t="shared" si="32"/>
        <v>-</v>
      </c>
    </row>
    <row r="861" spans="12:12" x14ac:dyDescent="0.45">
      <c r="L861" s="30" t="str">
        <f t="shared" si="32"/>
        <v>-</v>
      </c>
    </row>
    <row r="862" spans="12:12" x14ac:dyDescent="0.45">
      <c r="L862" s="30" t="str">
        <f t="shared" si="32"/>
        <v>-</v>
      </c>
    </row>
    <row r="863" spans="12:12" x14ac:dyDescent="0.45">
      <c r="L863" s="30" t="str">
        <f t="shared" si="32"/>
        <v>-</v>
      </c>
    </row>
    <row r="864" spans="12:12" x14ac:dyDescent="0.45">
      <c r="L864" s="30" t="str">
        <f t="shared" si="32"/>
        <v>-</v>
      </c>
    </row>
    <row r="865" spans="12:12" x14ac:dyDescent="0.45">
      <c r="L865" s="30" t="str">
        <f t="shared" si="32"/>
        <v>-</v>
      </c>
    </row>
    <row r="866" spans="12:12" x14ac:dyDescent="0.45">
      <c r="L866" s="30" t="str">
        <f t="shared" si="32"/>
        <v>-</v>
      </c>
    </row>
    <row r="867" spans="12:12" x14ac:dyDescent="0.45">
      <c r="L867" s="30" t="str">
        <f t="shared" si="32"/>
        <v>-</v>
      </c>
    </row>
    <row r="868" spans="12:12" x14ac:dyDescent="0.45">
      <c r="L868" s="30" t="str">
        <f t="shared" si="32"/>
        <v>-</v>
      </c>
    </row>
    <row r="869" spans="12:12" x14ac:dyDescent="0.45">
      <c r="L869" s="30" t="str">
        <f t="shared" si="32"/>
        <v>-</v>
      </c>
    </row>
    <row r="870" spans="12:12" x14ac:dyDescent="0.45">
      <c r="L870" s="30" t="str">
        <f t="shared" si="32"/>
        <v>-</v>
      </c>
    </row>
    <row r="871" spans="12:12" x14ac:dyDescent="0.45">
      <c r="L871" s="30" t="str">
        <f t="shared" si="32"/>
        <v>-</v>
      </c>
    </row>
    <row r="872" spans="12:12" x14ac:dyDescent="0.45">
      <c r="L872" s="30" t="str">
        <f t="shared" si="32"/>
        <v>-</v>
      </c>
    </row>
    <row r="873" spans="12:12" x14ac:dyDescent="0.45">
      <c r="L873" s="30" t="str">
        <f t="shared" si="32"/>
        <v>-</v>
      </c>
    </row>
    <row r="874" spans="12:12" x14ac:dyDescent="0.45">
      <c r="L874" s="30" t="str">
        <f t="shared" si="32"/>
        <v>-</v>
      </c>
    </row>
    <row r="875" spans="12:12" x14ac:dyDescent="0.45">
      <c r="L875" s="30" t="str">
        <f t="shared" si="32"/>
        <v>-</v>
      </c>
    </row>
    <row r="876" spans="12:12" x14ac:dyDescent="0.45">
      <c r="L876" s="30" t="str">
        <f t="shared" si="32"/>
        <v>-</v>
      </c>
    </row>
    <row r="877" spans="12:12" x14ac:dyDescent="0.45">
      <c r="L877" s="30" t="str">
        <f t="shared" si="32"/>
        <v>-</v>
      </c>
    </row>
    <row r="878" spans="12:12" x14ac:dyDescent="0.45">
      <c r="L878" s="30" t="str">
        <f t="shared" si="32"/>
        <v>-</v>
      </c>
    </row>
    <row r="879" spans="12:12" x14ac:dyDescent="0.45">
      <c r="L879" s="30" t="str">
        <f t="shared" si="32"/>
        <v>-</v>
      </c>
    </row>
    <row r="880" spans="12:12" x14ac:dyDescent="0.45">
      <c r="L880" s="30" t="str">
        <f t="shared" si="32"/>
        <v>-</v>
      </c>
    </row>
    <row r="881" spans="12:12" x14ac:dyDescent="0.45">
      <c r="L881" s="30" t="str">
        <f t="shared" si="32"/>
        <v>-</v>
      </c>
    </row>
    <row r="882" spans="12:12" x14ac:dyDescent="0.45">
      <c r="L882" s="30" t="str">
        <f t="shared" si="32"/>
        <v>-</v>
      </c>
    </row>
    <row r="883" spans="12:12" x14ac:dyDescent="0.45">
      <c r="L883" s="30" t="str">
        <f t="shared" si="32"/>
        <v>-</v>
      </c>
    </row>
    <row r="884" spans="12:12" x14ac:dyDescent="0.45">
      <c r="L884" s="30" t="str">
        <f t="shared" si="32"/>
        <v>-</v>
      </c>
    </row>
    <row r="885" spans="12:12" x14ac:dyDescent="0.45">
      <c r="L885" s="30" t="str">
        <f t="shared" si="32"/>
        <v>-</v>
      </c>
    </row>
    <row r="886" spans="12:12" x14ac:dyDescent="0.45">
      <c r="L886" s="30" t="str">
        <f t="shared" si="32"/>
        <v>-</v>
      </c>
    </row>
    <row r="887" spans="12:12" x14ac:dyDescent="0.45">
      <c r="L887" s="30" t="str">
        <f t="shared" si="32"/>
        <v>-</v>
      </c>
    </row>
    <row r="888" spans="12:12" x14ac:dyDescent="0.45">
      <c r="L888" s="30" t="str">
        <f t="shared" si="32"/>
        <v>-</v>
      </c>
    </row>
    <row r="889" spans="12:12" x14ac:dyDescent="0.45">
      <c r="L889" s="30" t="str">
        <f t="shared" si="32"/>
        <v>-</v>
      </c>
    </row>
    <row r="890" spans="12:12" x14ac:dyDescent="0.45">
      <c r="L890" s="30" t="str">
        <f t="shared" si="32"/>
        <v>-</v>
      </c>
    </row>
    <row r="891" spans="12:12" x14ac:dyDescent="0.45">
      <c r="L891" s="30" t="str">
        <f t="shared" si="32"/>
        <v>-</v>
      </c>
    </row>
    <row r="892" spans="12:12" x14ac:dyDescent="0.45">
      <c r="L892" s="30" t="str">
        <f t="shared" si="32"/>
        <v>-</v>
      </c>
    </row>
    <row r="893" spans="12:12" x14ac:dyDescent="0.45">
      <c r="L893" s="30" t="str">
        <f t="shared" si="32"/>
        <v>-</v>
      </c>
    </row>
    <row r="894" spans="12:12" x14ac:dyDescent="0.45">
      <c r="L894" s="30" t="str">
        <f t="shared" si="32"/>
        <v>-</v>
      </c>
    </row>
    <row r="895" spans="12:12" x14ac:dyDescent="0.45">
      <c r="L895" s="30" t="str">
        <f t="shared" si="32"/>
        <v>-</v>
      </c>
    </row>
    <row r="896" spans="12:12" x14ac:dyDescent="0.45">
      <c r="L896" s="30" t="str">
        <f t="shared" si="32"/>
        <v>-</v>
      </c>
    </row>
    <row r="897" spans="12:12" x14ac:dyDescent="0.45">
      <c r="L897" s="30" t="str">
        <f t="shared" si="32"/>
        <v>-</v>
      </c>
    </row>
    <row r="898" spans="12:12" x14ac:dyDescent="0.45">
      <c r="L898" s="30" t="str">
        <f t="shared" si="32"/>
        <v>-</v>
      </c>
    </row>
    <row r="899" spans="12:12" x14ac:dyDescent="0.45">
      <c r="L899" s="30" t="str">
        <f t="shared" si="32"/>
        <v>-</v>
      </c>
    </row>
    <row r="900" spans="12:12" x14ac:dyDescent="0.45">
      <c r="L900" s="30" t="str">
        <f t="shared" si="32"/>
        <v>-</v>
      </c>
    </row>
    <row r="901" spans="12:12" x14ac:dyDescent="0.45">
      <c r="L901" s="30" t="str">
        <f t="shared" si="32"/>
        <v>-</v>
      </c>
    </row>
    <row r="902" spans="12:12" x14ac:dyDescent="0.45">
      <c r="L902" s="30" t="str">
        <f t="shared" si="32"/>
        <v>-</v>
      </c>
    </row>
    <row r="903" spans="12:12" x14ac:dyDescent="0.45">
      <c r="L903" s="30" t="str">
        <f t="shared" si="32"/>
        <v>-</v>
      </c>
    </row>
    <row r="904" spans="12:12" x14ac:dyDescent="0.45">
      <c r="L904" s="30" t="str">
        <f t="shared" si="32"/>
        <v>-</v>
      </c>
    </row>
    <row r="905" spans="12:12" x14ac:dyDescent="0.45">
      <c r="L905" s="30" t="str">
        <f t="shared" si="32"/>
        <v>-</v>
      </c>
    </row>
    <row r="906" spans="12:12" x14ac:dyDescent="0.45">
      <c r="L906" s="30" t="str">
        <f t="shared" si="32"/>
        <v>-</v>
      </c>
    </row>
    <row r="907" spans="12:12" x14ac:dyDescent="0.45">
      <c r="L907" s="30" t="str">
        <f t="shared" si="32"/>
        <v>-</v>
      </c>
    </row>
    <row r="908" spans="12:12" x14ac:dyDescent="0.45">
      <c r="L908" s="30" t="str">
        <f t="shared" si="32"/>
        <v>-</v>
      </c>
    </row>
    <row r="909" spans="12:12" x14ac:dyDescent="0.45">
      <c r="L909" s="30" t="str">
        <f t="shared" si="32"/>
        <v>-</v>
      </c>
    </row>
    <row r="910" spans="12:12" x14ac:dyDescent="0.45">
      <c r="L910" s="30" t="str">
        <f t="shared" si="32"/>
        <v>-</v>
      </c>
    </row>
    <row r="911" spans="12:12" x14ac:dyDescent="0.45">
      <c r="L911" s="30" t="str">
        <f t="shared" si="32"/>
        <v>-</v>
      </c>
    </row>
    <row r="912" spans="12:12" x14ac:dyDescent="0.45">
      <c r="L912" s="30" t="str">
        <f t="shared" si="32"/>
        <v>-</v>
      </c>
    </row>
    <row r="913" spans="12:12" x14ac:dyDescent="0.45">
      <c r="L913" s="30" t="str">
        <f t="shared" si="32"/>
        <v>-</v>
      </c>
    </row>
    <row r="914" spans="12:12" x14ac:dyDescent="0.45">
      <c r="L914" s="30" t="str">
        <f t="shared" si="32"/>
        <v>-</v>
      </c>
    </row>
    <row r="915" spans="12:12" x14ac:dyDescent="0.45">
      <c r="L915" s="30" t="str">
        <f t="shared" si="32"/>
        <v>-</v>
      </c>
    </row>
    <row r="916" spans="12:12" x14ac:dyDescent="0.45">
      <c r="L916" s="30" t="str">
        <f t="shared" si="32"/>
        <v>-</v>
      </c>
    </row>
    <row r="917" spans="12:12" x14ac:dyDescent="0.45">
      <c r="L917" s="30" t="str">
        <f t="shared" si="32"/>
        <v>-</v>
      </c>
    </row>
    <row r="918" spans="12:12" x14ac:dyDescent="0.45">
      <c r="L918" s="30" t="str">
        <f t="shared" si="32"/>
        <v>-</v>
      </c>
    </row>
    <row r="919" spans="12:12" x14ac:dyDescent="0.45">
      <c r="L919" s="30" t="str">
        <f t="shared" si="32"/>
        <v>-</v>
      </c>
    </row>
    <row r="920" spans="12:12" x14ac:dyDescent="0.45">
      <c r="L920" s="30" t="str">
        <f t="shared" si="32"/>
        <v>-</v>
      </c>
    </row>
    <row r="921" spans="12:12" x14ac:dyDescent="0.45">
      <c r="L921" s="30" t="str">
        <f t="shared" si="32"/>
        <v>-</v>
      </c>
    </row>
    <row r="922" spans="12:12" x14ac:dyDescent="0.45">
      <c r="L922" s="30" t="str">
        <f t="shared" ref="L922:L985" si="33">IFERROR(G922/F922,"-")</f>
        <v>-</v>
      </c>
    </row>
    <row r="923" spans="12:12" x14ac:dyDescent="0.45">
      <c r="L923" s="30" t="str">
        <f t="shared" si="33"/>
        <v>-</v>
      </c>
    </row>
    <row r="924" spans="12:12" x14ac:dyDescent="0.45">
      <c r="L924" s="30" t="str">
        <f t="shared" si="33"/>
        <v>-</v>
      </c>
    </row>
    <row r="925" spans="12:12" x14ac:dyDescent="0.45">
      <c r="L925" s="30" t="str">
        <f t="shared" si="33"/>
        <v>-</v>
      </c>
    </row>
    <row r="926" spans="12:12" x14ac:dyDescent="0.45">
      <c r="L926" s="30" t="str">
        <f t="shared" si="33"/>
        <v>-</v>
      </c>
    </row>
    <row r="927" spans="12:12" x14ac:dyDescent="0.45">
      <c r="L927" s="30" t="str">
        <f t="shared" si="33"/>
        <v>-</v>
      </c>
    </row>
    <row r="928" spans="12:12" x14ac:dyDescent="0.45">
      <c r="L928" s="30" t="str">
        <f t="shared" si="33"/>
        <v>-</v>
      </c>
    </row>
    <row r="929" spans="12:12" x14ac:dyDescent="0.45">
      <c r="L929" s="30" t="str">
        <f t="shared" si="33"/>
        <v>-</v>
      </c>
    </row>
    <row r="930" spans="12:12" x14ac:dyDescent="0.45">
      <c r="L930" s="30" t="str">
        <f t="shared" si="33"/>
        <v>-</v>
      </c>
    </row>
    <row r="931" spans="12:12" x14ac:dyDescent="0.45">
      <c r="L931" s="30" t="str">
        <f t="shared" si="33"/>
        <v>-</v>
      </c>
    </row>
    <row r="932" spans="12:12" x14ac:dyDescent="0.45">
      <c r="L932" s="30" t="str">
        <f t="shared" si="33"/>
        <v>-</v>
      </c>
    </row>
    <row r="933" spans="12:12" x14ac:dyDescent="0.45">
      <c r="L933" s="30" t="str">
        <f t="shared" si="33"/>
        <v>-</v>
      </c>
    </row>
    <row r="934" spans="12:12" x14ac:dyDescent="0.45">
      <c r="L934" s="30" t="str">
        <f t="shared" si="33"/>
        <v>-</v>
      </c>
    </row>
    <row r="935" spans="12:12" x14ac:dyDescent="0.45">
      <c r="L935" s="30" t="str">
        <f t="shared" si="33"/>
        <v>-</v>
      </c>
    </row>
    <row r="936" spans="12:12" x14ac:dyDescent="0.45">
      <c r="L936" s="30" t="str">
        <f t="shared" si="33"/>
        <v>-</v>
      </c>
    </row>
    <row r="937" spans="12:12" x14ac:dyDescent="0.45">
      <c r="L937" s="30" t="str">
        <f t="shared" si="33"/>
        <v>-</v>
      </c>
    </row>
    <row r="938" spans="12:12" x14ac:dyDescent="0.45">
      <c r="L938" s="30" t="str">
        <f t="shared" si="33"/>
        <v>-</v>
      </c>
    </row>
    <row r="939" spans="12:12" x14ac:dyDescent="0.45">
      <c r="L939" s="30" t="str">
        <f t="shared" si="33"/>
        <v>-</v>
      </c>
    </row>
    <row r="940" spans="12:12" x14ac:dyDescent="0.45">
      <c r="L940" s="30" t="str">
        <f t="shared" si="33"/>
        <v>-</v>
      </c>
    </row>
    <row r="941" spans="12:12" x14ac:dyDescent="0.45">
      <c r="L941" s="30" t="str">
        <f t="shared" si="33"/>
        <v>-</v>
      </c>
    </row>
    <row r="942" spans="12:12" x14ac:dyDescent="0.45">
      <c r="L942" s="30" t="str">
        <f t="shared" si="33"/>
        <v>-</v>
      </c>
    </row>
    <row r="943" spans="12:12" x14ac:dyDescent="0.45">
      <c r="L943" s="30" t="str">
        <f t="shared" si="33"/>
        <v>-</v>
      </c>
    </row>
    <row r="944" spans="12:12" x14ac:dyDescent="0.45">
      <c r="L944" s="30" t="str">
        <f t="shared" si="33"/>
        <v>-</v>
      </c>
    </row>
    <row r="945" spans="12:12" x14ac:dyDescent="0.45">
      <c r="L945" s="30" t="str">
        <f t="shared" si="33"/>
        <v>-</v>
      </c>
    </row>
    <row r="946" spans="12:12" x14ac:dyDescent="0.45">
      <c r="L946" s="30" t="str">
        <f t="shared" si="33"/>
        <v>-</v>
      </c>
    </row>
    <row r="947" spans="12:12" x14ac:dyDescent="0.45">
      <c r="L947" s="30" t="str">
        <f t="shared" si="33"/>
        <v>-</v>
      </c>
    </row>
    <row r="948" spans="12:12" x14ac:dyDescent="0.45">
      <c r="L948" s="30" t="str">
        <f t="shared" si="33"/>
        <v>-</v>
      </c>
    </row>
    <row r="949" spans="12:12" x14ac:dyDescent="0.45">
      <c r="L949" s="30" t="str">
        <f t="shared" si="33"/>
        <v>-</v>
      </c>
    </row>
    <row r="950" spans="12:12" x14ac:dyDescent="0.45">
      <c r="L950" s="30" t="str">
        <f t="shared" si="33"/>
        <v>-</v>
      </c>
    </row>
    <row r="951" spans="12:12" x14ac:dyDescent="0.45">
      <c r="L951" s="30" t="str">
        <f t="shared" si="33"/>
        <v>-</v>
      </c>
    </row>
    <row r="952" spans="12:12" x14ac:dyDescent="0.45">
      <c r="L952" s="30" t="str">
        <f t="shared" si="33"/>
        <v>-</v>
      </c>
    </row>
    <row r="953" spans="12:12" x14ac:dyDescent="0.45">
      <c r="L953" s="30" t="str">
        <f t="shared" si="33"/>
        <v>-</v>
      </c>
    </row>
    <row r="954" spans="12:12" x14ac:dyDescent="0.45">
      <c r="L954" s="30" t="str">
        <f t="shared" si="33"/>
        <v>-</v>
      </c>
    </row>
    <row r="955" spans="12:12" x14ac:dyDescent="0.45">
      <c r="L955" s="30" t="str">
        <f t="shared" si="33"/>
        <v>-</v>
      </c>
    </row>
    <row r="956" spans="12:12" x14ac:dyDescent="0.45">
      <c r="L956" s="30" t="str">
        <f t="shared" si="33"/>
        <v>-</v>
      </c>
    </row>
    <row r="957" spans="12:12" x14ac:dyDescent="0.45">
      <c r="L957" s="30" t="str">
        <f t="shared" si="33"/>
        <v>-</v>
      </c>
    </row>
    <row r="958" spans="12:12" x14ac:dyDescent="0.45">
      <c r="L958" s="30" t="str">
        <f t="shared" si="33"/>
        <v>-</v>
      </c>
    </row>
    <row r="959" spans="12:12" x14ac:dyDescent="0.45">
      <c r="L959" s="30" t="str">
        <f t="shared" si="33"/>
        <v>-</v>
      </c>
    </row>
    <row r="960" spans="12:12" x14ac:dyDescent="0.45">
      <c r="L960" s="30" t="str">
        <f t="shared" si="33"/>
        <v>-</v>
      </c>
    </row>
    <row r="961" spans="12:12" x14ac:dyDescent="0.45">
      <c r="L961" s="30" t="str">
        <f t="shared" si="33"/>
        <v>-</v>
      </c>
    </row>
    <row r="962" spans="12:12" x14ac:dyDescent="0.45">
      <c r="L962" s="30" t="str">
        <f t="shared" si="33"/>
        <v>-</v>
      </c>
    </row>
    <row r="963" spans="12:12" x14ac:dyDescent="0.45">
      <c r="L963" s="30" t="str">
        <f t="shared" si="33"/>
        <v>-</v>
      </c>
    </row>
    <row r="964" spans="12:12" x14ac:dyDescent="0.45">
      <c r="L964" s="30" t="str">
        <f t="shared" si="33"/>
        <v>-</v>
      </c>
    </row>
    <row r="965" spans="12:12" x14ac:dyDescent="0.45">
      <c r="L965" s="30" t="str">
        <f t="shared" si="33"/>
        <v>-</v>
      </c>
    </row>
    <row r="966" spans="12:12" x14ac:dyDescent="0.45">
      <c r="L966" s="30" t="str">
        <f t="shared" si="33"/>
        <v>-</v>
      </c>
    </row>
    <row r="967" spans="12:12" x14ac:dyDescent="0.45">
      <c r="L967" s="30" t="str">
        <f t="shared" si="33"/>
        <v>-</v>
      </c>
    </row>
    <row r="968" spans="12:12" x14ac:dyDescent="0.45">
      <c r="L968" s="30" t="str">
        <f t="shared" si="33"/>
        <v>-</v>
      </c>
    </row>
    <row r="969" spans="12:12" x14ac:dyDescent="0.45">
      <c r="L969" s="30" t="str">
        <f t="shared" si="33"/>
        <v>-</v>
      </c>
    </row>
    <row r="970" spans="12:12" x14ac:dyDescent="0.45">
      <c r="L970" s="30" t="str">
        <f t="shared" si="33"/>
        <v>-</v>
      </c>
    </row>
    <row r="971" spans="12:12" x14ac:dyDescent="0.45">
      <c r="L971" s="30" t="str">
        <f t="shared" si="33"/>
        <v>-</v>
      </c>
    </row>
    <row r="972" spans="12:12" x14ac:dyDescent="0.45">
      <c r="L972" s="30" t="str">
        <f t="shared" si="33"/>
        <v>-</v>
      </c>
    </row>
    <row r="973" spans="12:12" x14ac:dyDescent="0.45">
      <c r="L973" s="30" t="str">
        <f t="shared" si="33"/>
        <v>-</v>
      </c>
    </row>
    <row r="974" spans="12:12" x14ac:dyDescent="0.45">
      <c r="L974" s="30" t="str">
        <f t="shared" si="33"/>
        <v>-</v>
      </c>
    </row>
    <row r="975" spans="12:12" x14ac:dyDescent="0.45">
      <c r="L975" s="30" t="str">
        <f t="shared" si="33"/>
        <v>-</v>
      </c>
    </row>
    <row r="976" spans="12:12" x14ac:dyDescent="0.45">
      <c r="L976" s="30" t="str">
        <f t="shared" si="33"/>
        <v>-</v>
      </c>
    </row>
    <row r="977" spans="12:12" x14ac:dyDescent="0.45">
      <c r="L977" s="30" t="str">
        <f t="shared" si="33"/>
        <v>-</v>
      </c>
    </row>
    <row r="978" spans="12:12" x14ac:dyDescent="0.45">
      <c r="L978" s="30" t="str">
        <f t="shared" si="33"/>
        <v>-</v>
      </c>
    </row>
    <row r="979" spans="12:12" x14ac:dyDescent="0.45">
      <c r="L979" s="30" t="str">
        <f t="shared" si="33"/>
        <v>-</v>
      </c>
    </row>
    <row r="980" spans="12:12" x14ac:dyDescent="0.45">
      <c r="L980" s="30" t="str">
        <f t="shared" si="33"/>
        <v>-</v>
      </c>
    </row>
    <row r="981" spans="12:12" x14ac:dyDescent="0.45">
      <c r="L981" s="30" t="str">
        <f t="shared" si="33"/>
        <v>-</v>
      </c>
    </row>
    <row r="982" spans="12:12" x14ac:dyDescent="0.45">
      <c r="L982" s="30" t="str">
        <f t="shared" si="33"/>
        <v>-</v>
      </c>
    </row>
    <row r="983" spans="12:12" x14ac:dyDescent="0.45">
      <c r="L983" s="30" t="str">
        <f t="shared" si="33"/>
        <v>-</v>
      </c>
    </row>
    <row r="984" spans="12:12" x14ac:dyDescent="0.45">
      <c r="L984" s="30" t="str">
        <f t="shared" si="33"/>
        <v>-</v>
      </c>
    </row>
    <row r="985" spans="12:12" x14ac:dyDescent="0.45">
      <c r="L985" s="30" t="str">
        <f t="shared" si="33"/>
        <v>-</v>
      </c>
    </row>
    <row r="986" spans="12:12" x14ac:dyDescent="0.45">
      <c r="L986" s="30" t="str">
        <f t="shared" ref="L986:L1049" si="34">IFERROR(G986/F986,"-")</f>
        <v>-</v>
      </c>
    </row>
    <row r="987" spans="12:12" x14ac:dyDescent="0.45">
      <c r="L987" s="30" t="str">
        <f t="shared" si="34"/>
        <v>-</v>
      </c>
    </row>
    <row r="988" spans="12:12" x14ac:dyDescent="0.45">
      <c r="L988" s="30" t="str">
        <f t="shared" si="34"/>
        <v>-</v>
      </c>
    </row>
    <row r="989" spans="12:12" x14ac:dyDescent="0.45">
      <c r="L989" s="30" t="str">
        <f t="shared" si="34"/>
        <v>-</v>
      </c>
    </row>
    <row r="990" spans="12:12" x14ac:dyDescent="0.45">
      <c r="L990" s="30" t="str">
        <f t="shared" si="34"/>
        <v>-</v>
      </c>
    </row>
    <row r="991" spans="12:12" x14ac:dyDescent="0.45">
      <c r="L991" s="30" t="str">
        <f t="shared" si="34"/>
        <v>-</v>
      </c>
    </row>
    <row r="992" spans="12:12" x14ac:dyDescent="0.45">
      <c r="L992" s="30" t="str">
        <f t="shared" si="34"/>
        <v>-</v>
      </c>
    </row>
    <row r="993" spans="12:12" x14ac:dyDescent="0.45">
      <c r="L993" s="30" t="str">
        <f t="shared" si="34"/>
        <v>-</v>
      </c>
    </row>
    <row r="994" spans="12:12" x14ac:dyDescent="0.45">
      <c r="L994" s="30" t="str">
        <f t="shared" si="34"/>
        <v>-</v>
      </c>
    </row>
    <row r="995" spans="12:12" x14ac:dyDescent="0.45">
      <c r="L995" s="30" t="str">
        <f t="shared" si="34"/>
        <v>-</v>
      </c>
    </row>
    <row r="996" spans="12:12" x14ac:dyDescent="0.45">
      <c r="L996" s="30" t="str">
        <f t="shared" si="34"/>
        <v>-</v>
      </c>
    </row>
    <row r="997" spans="12:12" x14ac:dyDescent="0.45">
      <c r="L997" s="30" t="str">
        <f t="shared" si="34"/>
        <v>-</v>
      </c>
    </row>
    <row r="998" spans="12:12" x14ac:dyDescent="0.45">
      <c r="L998" s="30" t="str">
        <f t="shared" si="34"/>
        <v>-</v>
      </c>
    </row>
    <row r="999" spans="12:12" x14ac:dyDescent="0.45">
      <c r="L999" s="30" t="str">
        <f t="shared" si="34"/>
        <v>-</v>
      </c>
    </row>
    <row r="1000" spans="12:12" x14ac:dyDescent="0.45">
      <c r="L1000" s="30" t="str">
        <f t="shared" si="34"/>
        <v>-</v>
      </c>
    </row>
    <row r="1001" spans="12:12" x14ac:dyDescent="0.45">
      <c r="L1001" s="30" t="str">
        <f t="shared" si="34"/>
        <v>-</v>
      </c>
    </row>
    <row r="1002" spans="12:12" x14ac:dyDescent="0.45">
      <c r="L1002" s="30" t="str">
        <f t="shared" si="34"/>
        <v>-</v>
      </c>
    </row>
    <row r="1003" spans="12:12" x14ac:dyDescent="0.45">
      <c r="L1003" s="30" t="str">
        <f t="shared" si="34"/>
        <v>-</v>
      </c>
    </row>
    <row r="1004" spans="12:12" x14ac:dyDescent="0.45">
      <c r="L1004" s="30" t="str">
        <f t="shared" si="34"/>
        <v>-</v>
      </c>
    </row>
    <row r="1005" spans="12:12" x14ac:dyDescent="0.45">
      <c r="L1005" s="30" t="str">
        <f t="shared" si="34"/>
        <v>-</v>
      </c>
    </row>
    <row r="1006" spans="12:12" x14ac:dyDescent="0.45">
      <c r="L1006" s="30" t="str">
        <f t="shared" si="34"/>
        <v>-</v>
      </c>
    </row>
    <row r="1007" spans="12:12" x14ac:dyDescent="0.45">
      <c r="L1007" s="30" t="str">
        <f t="shared" si="34"/>
        <v>-</v>
      </c>
    </row>
    <row r="1008" spans="12:12" x14ac:dyDescent="0.45">
      <c r="L1008" s="30" t="str">
        <f t="shared" si="34"/>
        <v>-</v>
      </c>
    </row>
    <row r="1009" spans="12:12" x14ac:dyDescent="0.45">
      <c r="L1009" s="30" t="str">
        <f t="shared" si="34"/>
        <v>-</v>
      </c>
    </row>
    <row r="1010" spans="12:12" x14ac:dyDescent="0.45">
      <c r="L1010" s="30" t="str">
        <f t="shared" si="34"/>
        <v>-</v>
      </c>
    </row>
    <row r="1011" spans="12:12" x14ac:dyDescent="0.45">
      <c r="L1011" s="30" t="str">
        <f t="shared" si="34"/>
        <v>-</v>
      </c>
    </row>
    <row r="1012" spans="12:12" x14ac:dyDescent="0.45">
      <c r="L1012" s="30" t="str">
        <f t="shared" si="34"/>
        <v>-</v>
      </c>
    </row>
    <row r="1013" spans="12:12" x14ac:dyDescent="0.45">
      <c r="L1013" s="30" t="str">
        <f t="shared" si="34"/>
        <v>-</v>
      </c>
    </row>
    <row r="1014" spans="12:12" x14ac:dyDescent="0.45">
      <c r="L1014" s="30" t="str">
        <f t="shared" si="34"/>
        <v>-</v>
      </c>
    </row>
    <row r="1015" spans="12:12" x14ac:dyDescent="0.45">
      <c r="L1015" s="30" t="str">
        <f t="shared" si="34"/>
        <v>-</v>
      </c>
    </row>
    <row r="1016" spans="12:12" x14ac:dyDescent="0.45">
      <c r="L1016" s="30" t="str">
        <f t="shared" si="34"/>
        <v>-</v>
      </c>
    </row>
    <row r="1017" spans="12:12" x14ac:dyDescent="0.45">
      <c r="L1017" s="30" t="str">
        <f t="shared" si="34"/>
        <v>-</v>
      </c>
    </row>
    <row r="1018" spans="12:12" x14ac:dyDescent="0.45">
      <c r="L1018" s="30" t="str">
        <f t="shared" si="34"/>
        <v>-</v>
      </c>
    </row>
    <row r="1019" spans="12:12" x14ac:dyDescent="0.45">
      <c r="L1019" s="30" t="str">
        <f t="shared" si="34"/>
        <v>-</v>
      </c>
    </row>
    <row r="1020" spans="12:12" x14ac:dyDescent="0.45">
      <c r="L1020" s="30" t="str">
        <f t="shared" si="34"/>
        <v>-</v>
      </c>
    </row>
    <row r="1021" spans="12:12" x14ac:dyDescent="0.45">
      <c r="L1021" s="30" t="str">
        <f t="shared" si="34"/>
        <v>-</v>
      </c>
    </row>
    <row r="1022" spans="12:12" x14ac:dyDescent="0.45">
      <c r="L1022" s="30" t="str">
        <f t="shared" si="34"/>
        <v>-</v>
      </c>
    </row>
    <row r="1023" spans="12:12" x14ac:dyDescent="0.45">
      <c r="L1023" s="30" t="str">
        <f t="shared" si="34"/>
        <v>-</v>
      </c>
    </row>
    <row r="1024" spans="12:12" x14ac:dyDescent="0.45">
      <c r="L1024" s="30" t="str">
        <f t="shared" si="34"/>
        <v>-</v>
      </c>
    </row>
    <row r="1025" spans="12:12" x14ac:dyDescent="0.45">
      <c r="L1025" s="30" t="str">
        <f t="shared" si="34"/>
        <v>-</v>
      </c>
    </row>
    <row r="1026" spans="12:12" x14ac:dyDescent="0.45">
      <c r="L1026" s="30" t="str">
        <f t="shared" si="34"/>
        <v>-</v>
      </c>
    </row>
    <row r="1027" spans="12:12" x14ac:dyDescent="0.45">
      <c r="L1027" s="30" t="str">
        <f t="shared" si="34"/>
        <v>-</v>
      </c>
    </row>
    <row r="1028" spans="12:12" x14ac:dyDescent="0.45">
      <c r="L1028" s="30" t="str">
        <f t="shared" si="34"/>
        <v>-</v>
      </c>
    </row>
    <row r="1029" spans="12:12" x14ac:dyDescent="0.45">
      <c r="L1029" s="30" t="str">
        <f t="shared" si="34"/>
        <v>-</v>
      </c>
    </row>
    <row r="1030" spans="12:12" x14ac:dyDescent="0.45">
      <c r="L1030" s="30" t="str">
        <f t="shared" si="34"/>
        <v>-</v>
      </c>
    </row>
    <row r="1031" spans="12:12" x14ac:dyDescent="0.45">
      <c r="L1031" s="30" t="str">
        <f t="shared" si="34"/>
        <v>-</v>
      </c>
    </row>
    <row r="1032" spans="12:12" x14ac:dyDescent="0.45">
      <c r="L1032" s="30" t="str">
        <f t="shared" si="34"/>
        <v>-</v>
      </c>
    </row>
    <row r="1033" spans="12:12" x14ac:dyDescent="0.45">
      <c r="L1033" s="30" t="str">
        <f t="shared" si="34"/>
        <v>-</v>
      </c>
    </row>
    <row r="1034" spans="12:12" x14ac:dyDescent="0.45">
      <c r="L1034" s="30" t="str">
        <f t="shared" si="34"/>
        <v>-</v>
      </c>
    </row>
    <row r="1035" spans="12:12" x14ac:dyDescent="0.45">
      <c r="L1035" s="30" t="str">
        <f t="shared" si="34"/>
        <v>-</v>
      </c>
    </row>
    <row r="1036" spans="12:12" x14ac:dyDescent="0.45">
      <c r="L1036" s="30" t="str">
        <f t="shared" si="34"/>
        <v>-</v>
      </c>
    </row>
    <row r="1037" spans="12:12" x14ac:dyDescent="0.45">
      <c r="L1037" s="30" t="str">
        <f t="shared" si="34"/>
        <v>-</v>
      </c>
    </row>
    <row r="1038" spans="12:12" x14ac:dyDescent="0.45">
      <c r="L1038" s="30" t="str">
        <f t="shared" si="34"/>
        <v>-</v>
      </c>
    </row>
    <row r="1039" spans="12:12" x14ac:dyDescent="0.45">
      <c r="L1039" s="30" t="str">
        <f t="shared" si="34"/>
        <v>-</v>
      </c>
    </row>
    <row r="1040" spans="12:12" x14ac:dyDescent="0.45">
      <c r="L1040" s="30" t="str">
        <f t="shared" si="34"/>
        <v>-</v>
      </c>
    </row>
    <row r="1041" spans="12:12" x14ac:dyDescent="0.45">
      <c r="L1041" s="30" t="str">
        <f t="shared" si="34"/>
        <v>-</v>
      </c>
    </row>
    <row r="1042" spans="12:12" x14ac:dyDescent="0.45">
      <c r="L1042" s="30" t="str">
        <f t="shared" si="34"/>
        <v>-</v>
      </c>
    </row>
    <row r="1043" spans="12:12" x14ac:dyDescent="0.45">
      <c r="L1043" s="30" t="str">
        <f t="shared" si="34"/>
        <v>-</v>
      </c>
    </row>
    <row r="1044" spans="12:12" x14ac:dyDescent="0.45">
      <c r="L1044" s="30" t="str">
        <f t="shared" si="34"/>
        <v>-</v>
      </c>
    </row>
    <row r="1045" spans="12:12" x14ac:dyDescent="0.45">
      <c r="L1045" s="30" t="str">
        <f t="shared" si="34"/>
        <v>-</v>
      </c>
    </row>
    <row r="1046" spans="12:12" x14ac:dyDescent="0.45">
      <c r="L1046" s="30" t="str">
        <f t="shared" si="34"/>
        <v>-</v>
      </c>
    </row>
    <row r="1047" spans="12:12" x14ac:dyDescent="0.45">
      <c r="L1047" s="30" t="str">
        <f t="shared" si="34"/>
        <v>-</v>
      </c>
    </row>
    <row r="1048" spans="12:12" x14ac:dyDescent="0.45">
      <c r="L1048" s="30" t="str">
        <f t="shared" si="34"/>
        <v>-</v>
      </c>
    </row>
    <row r="1049" spans="12:12" x14ac:dyDescent="0.45">
      <c r="L1049" s="30" t="str">
        <f t="shared" si="34"/>
        <v>-</v>
      </c>
    </row>
    <row r="1050" spans="12:12" x14ac:dyDescent="0.45">
      <c r="L1050" s="30" t="str">
        <f t="shared" ref="L1050:L1102" si="35">IFERROR(G1050/F1050,"-")</f>
        <v>-</v>
      </c>
    </row>
    <row r="1051" spans="12:12" x14ac:dyDescent="0.45">
      <c r="L1051" s="30" t="str">
        <f t="shared" si="35"/>
        <v>-</v>
      </c>
    </row>
    <row r="1052" spans="12:12" x14ac:dyDescent="0.45">
      <c r="L1052" s="30" t="str">
        <f t="shared" si="35"/>
        <v>-</v>
      </c>
    </row>
    <row r="1053" spans="12:12" x14ac:dyDescent="0.45">
      <c r="L1053" s="30" t="str">
        <f t="shared" si="35"/>
        <v>-</v>
      </c>
    </row>
    <row r="1054" spans="12:12" x14ac:dyDescent="0.45">
      <c r="L1054" s="30" t="str">
        <f t="shared" si="35"/>
        <v>-</v>
      </c>
    </row>
    <row r="1055" spans="12:12" x14ac:dyDescent="0.45">
      <c r="L1055" s="30" t="str">
        <f t="shared" si="35"/>
        <v>-</v>
      </c>
    </row>
    <row r="1056" spans="12:12" x14ac:dyDescent="0.45">
      <c r="L1056" s="30" t="str">
        <f t="shared" si="35"/>
        <v>-</v>
      </c>
    </row>
    <row r="1057" spans="12:12" x14ac:dyDescent="0.45">
      <c r="L1057" s="30" t="str">
        <f t="shared" si="35"/>
        <v>-</v>
      </c>
    </row>
    <row r="1058" spans="12:12" x14ac:dyDescent="0.45">
      <c r="L1058" s="30" t="str">
        <f t="shared" si="35"/>
        <v>-</v>
      </c>
    </row>
    <row r="1059" spans="12:12" x14ac:dyDescent="0.45">
      <c r="L1059" s="30" t="str">
        <f t="shared" si="35"/>
        <v>-</v>
      </c>
    </row>
    <row r="1060" spans="12:12" x14ac:dyDescent="0.45">
      <c r="L1060" s="30" t="str">
        <f t="shared" si="35"/>
        <v>-</v>
      </c>
    </row>
    <row r="1061" spans="12:12" x14ac:dyDescent="0.45">
      <c r="L1061" s="30" t="str">
        <f t="shared" si="35"/>
        <v>-</v>
      </c>
    </row>
    <row r="1062" spans="12:12" x14ac:dyDescent="0.45">
      <c r="L1062" s="30" t="str">
        <f t="shared" si="35"/>
        <v>-</v>
      </c>
    </row>
    <row r="1063" spans="12:12" x14ac:dyDescent="0.45">
      <c r="L1063" s="30" t="str">
        <f t="shared" si="35"/>
        <v>-</v>
      </c>
    </row>
    <row r="1064" spans="12:12" x14ac:dyDescent="0.45">
      <c r="L1064" s="30" t="str">
        <f t="shared" si="35"/>
        <v>-</v>
      </c>
    </row>
    <row r="1065" spans="12:12" x14ac:dyDescent="0.45">
      <c r="L1065" s="30" t="str">
        <f t="shared" si="35"/>
        <v>-</v>
      </c>
    </row>
    <row r="1066" spans="12:12" x14ac:dyDescent="0.45">
      <c r="L1066" s="30" t="str">
        <f t="shared" si="35"/>
        <v>-</v>
      </c>
    </row>
    <row r="1067" spans="12:12" x14ac:dyDescent="0.45">
      <c r="L1067" s="30" t="str">
        <f t="shared" si="35"/>
        <v>-</v>
      </c>
    </row>
    <row r="1068" spans="12:12" x14ac:dyDescent="0.45">
      <c r="L1068" s="30" t="str">
        <f t="shared" si="35"/>
        <v>-</v>
      </c>
    </row>
    <row r="1069" spans="12:12" x14ac:dyDescent="0.45">
      <c r="L1069" s="30" t="str">
        <f t="shared" si="35"/>
        <v>-</v>
      </c>
    </row>
    <row r="1070" spans="12:12" x14ac:dyDescent="0.45">
      <c r="L1070" s="30" t="str">
        <f t="shared" si="35"/>
        <v>-</v>
      </c>
    </row>
    <row r="1071" spans="12:12" x14ac:dyDescent="0.45">
      <c r="L1071" s="30" t="str">
        <f t="shared" si="35"/>
        <v>-</v>
      </c>
    </row>
    <row r="1072" spans="12:12" x14ac:dyDescent="0.45">
      <c r="L1072" s="30" t="str">
        <f t="shared" si="35"/>
        <v>-</v>
      </c>
    </row>
    <row r="1073" spans="12:12" x14ac:dyDescent="0.45">
      <c r="L1073" s="30" t="str">
        <f t="shared" si="35"/>
        <v>-</v>
      </c>
    </row>
    <row r="1074" spans="12:12" x14ac:dyDescent="0.45">
      <c r="L1074" s="30" t="str">
        <f t="shared" si="35"/>
        <v>-</v>
      </c>
    </row>
    <row r="1075" spans="12:12" x14ac:dyDescent="0.45">
      <c r="L1075" s="30" t="str">
        <f t="shared" si="35"/>
        <v>-</v>
      </c>
    </row>
    <row r="1076" spans="12:12" x14ac:dyDescent="0.45">
      <c r="L1076" s="30" t="str">
        <f t="shared" si="35"/>
        <v>-</v>
      </c>
    </row>
    <row r="1077" spans="12:12" x14ac:dyDescent="0.45">
      <c r="L1077" s="30" t="str">
        <f t="shared" si="35"/>
        <v>-</v>
      </c>
    </row>
    <row r="1078" spans="12:12" x14ac:dyDescent="0.45">
      <c r="L1078" s="30" t="str">
        <f t="shared" si="35"/>
        <v>-</v>
      </c>
    </row>
    <row r="1079" spans="12:12" x14ac:dyDescent="0.45">
      <c r="L1079" s="30" t="str">
        <f t="shared" si="35"/>
        <v>-</v>
      </c>
    </row>
    <row r="1080" spans="12:12" x14ac:dyDescent="0.45">
      <c r="L1080" s="30" t="str">
        <f t="shared" si="35"/>
        <v>-</v>
      </c>
    </row>
    <row r="1081" spans="12:12" x14ac:dyDescent="0.45">
      <c r="L1081" s="30" t="str">
        <f t="shared" si="35"/>
        <v>-</v>
      </c>
    </row>
    <row r="1082" spans="12:12" x14ac:dyDescent="0.45">
      <c r="L1082" s="30" t="str">
        <f t="shared" si="35"/>
        <v>-</v>
      </c>
    </row>
    <row r="1083" spans="12:12" x14ac:dyDescent="0.45">
      <c r="L1083" s="30" t="str">
        <f t="shared" si="35"/>
        <v>-</v>
      </c>
    </row>
    <row r="1084" spans="12:12" x14ac:dyDescent="0.45">
      <c r="L1084" s="30" t="str">
        <f t="shared" si="35"/>
        <v>-</v>
      </c>
    </row>
    <row r="1085" spans="12:12" x14ac:dyDescent="0.45">
      <c r="L1085" s="30" t="str">
        <f t="shared" si="35"/>
        <v>-</v>
      </c>
    </row>
    <row r="1086" spans="12:12" x14ac:dyDescent="0.45">
      <c r="L1086" s="30" t="str">
        <f t="shared" si="35"/>
        <v>-</v>
      </c>
    </row>
    <row r="1087" spans="12:12" x14ac:dyDescent="0.45">
      <c r="L1087" s="30" t="str">
        <f t="shared" si="35"/>
        <v>-</v>
      </c>
    </row>
    <row r="1088" spans="12:12" x14ac:dyDescent="0.45">
      <c r="L1088" s="30" t="str">
        <f t="shared" si="35"/>
        <v>-</v>
      </c>
    </row>
    <row r="1089" spans="12:12" x14ac:dyDescent="0.45">
      <c r="L1089" s="30" t="str">
        <f t="shared" si="35"/>
        <v>-</v>
      </c>
    </row>
    <row r="1090" spans="12:12" x14ac:dyDescent="0.45">
      <c r="L1090" s="30" t="str">
        <f t="shared" si="35"/>
        <v>-</v>
      </c>
    </row>
    <row r="1091" spans="12:12" x14ac:dyDescent="0.45">
      <c r="L1091" s="30" t="str">
        <f t="shared" si="35"/>
        <v>-</v>
      </c>
    </row>
    <row r="1092" spans="12:12" x14ac:dyDescent="0.45">
      <c r="L1092" s="30" t="str">
        <f t="shared" si="35"/>
        <v>-</v>
      </c>
    </row>
    <row r="1093" spans="12:12" x14ac:dyDescent="0.45">
      <c r="L1093" s="30" t="str">
        <f t="shared" si="35"/>
        <v>-</v>
      </c>
    </row>
    <row r="1094" spans="12:12" x14ac:dyDescent="0.45">
      <c r="L1094" s="30" t="str">
        <f t="shared" si="35"/>
        <v>-</v>
      </c>
    </row>
    <row r="1095" spans="12:12" x14ac:dyDescent="0.45">
      <c r="L1095" s="30" t="str">
        <f t="shared" si="35"/>
        <v>-</v>
      </c>
    </row>
    <row r="1096" spans="12:12" x14ac:dyDescent="0.45">
      <c r="L1096" s="30" t="str">
        <f t="shared" si="35"/>
        <v>-</v>
      </c>
    </row>
    <row r="1097" spans="12:12" x14ac:dyDescent="0.45">
      <c r="L1097" s="30" t="str">
        <f t="shared" si="35"/>
        <v>-</v>
      </c>
    </row>
    <row r="1098" spans="12:12" x14ac:dyDescent="0.45">
      <c r="L1098" s="30" t="str">
        <f t="shared" si="35"/>
        <v>-</v>
      </c>
    </row>
    <row r="1099" spans="12:12" x14ac:dyDescent="0.45">
      <c r="L1099" s="30" t="str">
        <f t="shared" si="35"/>
        <v>-</v>
      </c>
    </row>
    <row r="1100" spans="12:12" x14ac:dyDescent="0.45">
      <c r="L1100" s="30" t="str">
        <f t="shared" si="35"/>
        <v>-</v>
      </c>
    </row>
    <row r="1101" spans="12:12" x14ac:dyDescent="0.45">
      <c r="L1101" s="30" t="str">
        <f t="shared" si="35"/>
        <v>-</v>
      </c>
    </row>
    <row r="1102" spans="12:12" x14ac:dyDescent="0.45">
      <c r="L1102" s="30" t="str">
        <f t="shared" si="35"/>
        <v>-</v>
      </c>
    </row>
  </sheetData>
  <sheetProtection algorithmName="SHA-512" hashValue="e7UQqrWWFpkLkmmSRzD4ChzsClgI4PoMBT70X9fjot8f0wgTyE4cPN0j1aAVy4CS4CdEmWMZlcZ9RW3+mLdMBA==" saltValue="+pNIinafN5nAR/PE6fsgXg==" spinCount="100000" sheet="1" objects="1" scenarios="1"/>
  <mergeCells count="18">
    <mergeCell ref="E3:E4"/>
    <mergeCell ref="F3:F4"/>
    <mergeCell ref="N3:N4"/>
    <mergeCell ref="A13:M13"/>
    <mergeCell ref="A18:M18"/>
    <mergeCell ref="A20:M20"/>
    <mergeCell ref="A22:M22"/>
    <mergeCell ref="L3:L4"/>
    <mergeCell ref="G3:G4"/>
    <mergeCell ref="H3:H4"/>
    <mergeCell ref="I3:I4"/>
    <mergeCell ref="J3:J4"/>
    <mergeCell ref="K3:K4"/>
    <mergeCell ref="M3:M4"/>
    <mergeCell ref="A3:A4"/>
    <mergeCell ref="B3:B4"/>
    <mergeCell ref="C3:C4"/>
    <mergeCell ref="D3:D4"/>
  </mergeCells>
  <phoneticPr fontId="1" type="noConversion"/>
  <conditionalFormatting sqref="J7:J12 J14:J17 J19 J21 J23:J1048576">
    <cfRule type="containsText" dxfId="7" priority="1" operator="containsText" text="불합격">
      <formula>NOT(ISERROR(SEARCH("불합격",J7)))</formula>
    </cfRule>
    <cfRule type="containsText" dxfId="6" priority="2" operator="containsText" text="합격">
      <formula>NOT(ISERROR(SEARCH("합격",J7)))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48DF-268C-4062-924A-768594993929}">
  <dimension ref="B1:H29"/>
  <sheetViews>
    <sheetView workbookViewId="0">
      <selection activeCell="L11" sqref="L11"/>
    </sheetView>
  </sheetViews>
  <sheetFormatPr defaultRowHeight="17" x14ac:dyDescent="0.45"/>
  <cols>
    <col min="2" max="2" width="8.75" style="1"/>
    <col min="3" max="6" width="20.75" style="1" customWidth="1"/>
    <col min="7" max="7" width="20.75" style="13" customWidth="1"/>
    <col min="8" max="8" width="20.75" style="15" customWidth="1"/>
  </cols>
  <sheetData>
    <row r="1" spans="2:8" x14ac:dyDescent="0.45">
      <c r="B1" s="1" t="s">
        <v>239</v>
      </c>
    </row>
    <row r="2" spans="2:8" x14ac:dyDescent="0.45">
      <c r="B2" s="3"/>
      <c r="C2" s="10" t="s">
        <v>8</v>
      </c>
      <c r="G2" s="1"/>
      <c r="H2"/>
    </row>
    <row r="3" spans="2:8" x14ac:dyDescent="0.45">
      <c r="C3" s="1" t="s">
        <v>10</v>
      </c>
      <c r="D3" s="1" t="s">
        <v>9</v>
      </c>
      <c r="E3" s="1" t="s">
        <v>11</v>
      </c>
      <c r="G3" s="1"/>
      <c r="H3"/>
    </row>
    <row r="4" spans="2:8" x14ac:dyDescent="0.45">
      <c r="C4" s="2" t="s">
        <v>3</v>
      </c>
      <c r="D4" s="2" t="s">
        <v>4</v>
      </c>
      <c r="E4" s="2" t="s">
        <v>5</v>
      </c>
      <c r="F4" s="9" t="s">
        <v>6</v>
      </c>
      <c r="G4" s="2" t="s">
        <v>7</v>
      </c>
      <c r="H4" s="2" t="s">
        <v>12</v>
      </c>
    </row>
    <row r="5" spans="2:8" x14ac:dyDescent="0.45">
      <c r="B5" s="6" t="s">
        <v>2</v>
      </c>
      <c r="C5" s="4">
        <v>32</v>
      </c>
      <c r="D5" s="4">
        <v>27</v>
      </c>
      <c r="E5" s="4">
        <v>10</v>
      </c>
      <c r="F5" s="2">
        <f>IFERROR(((C5-D5)/E5),0)</f>
        <v>0.5</v>
      </c>
      <c r="G5" s="12">
        <f>(D5-0.4*C5)/F5</f>
        <v>28.4</v>
      </c>
      <c r="H5" s="14">
        <f>IFERROR((C5-D5)/C5,0)</f>
        <v>0.15625</v>
      </c>
    </row>
    <row r="6" spans="2:8" x14ac:dyDescent="0.45">
      <c r="C6" s="2">
        <v>4.3</v>
      </c>
      <c r="D6" s="2">
        <v>4.3</v>
      </c>
      <c r="E6" s="2">
        <v>4</v>
      </c>
      <c r="F6" s="2">
        <f t="shared" ref="F6:F29" si="0">IFERROR(((C6-D6)/E6),0)</f>
        <v>0</v>
      </c>
      <c r="G6" s="12">
        <f>IFERROR((D6-0.4*C6)/F6,0)</f>
        <v>0</v>
      </c>
      <c r="H6" s="14">
        <f t="shared" ref="H6:H29" si="1">IFERROR((C6-D6)/C6,0)</f>
        <v>0</v>
      </c>
    </row>
    <row r="7" spans="2:8" x14ac:dyDescent="0.45">
      <c r="C7" s="2">
        <v>9.3000000000000007</v>
      </c>
      <c r="D7" s="2">
        <v>9.1</v>
      </c>
      <c r="E7" s="2">
        <v>2</v>
      </c>
      <c r="F7" s="2">
        <f t="shared" si="0"/>
        <v>0.10000000000000053</v>
      </c>
      <c r="G7" s="12">
        <f t="shared" ref="G7:G29" si="2">IFERROR((D7-0.4*C7)/F7,0)</f>
        <v>53.799999999999706</v>
      </c>
      <c r="H7" s="14">
        <f t="shared" si="1"/>
        <v>2.1505376344086134E-2</v>
      </c>
    </row>
    <row r="8" spans="2:8" x14ac:dyDescent="0.45">
      <c r="C8" s="2">
        <v>11</v>
      </c>
      <c r="D8" s="2">
        <v>10.6</v>
      </c>
      <c r="E8" s="2">
        <v>2</v>
      </c>
      <c r="F8" s="2">
        <f t="shared" si="0"/>
        <v>0.20000000000000018</v>
      </c>
      <c r="G8" s="12">
        <f t="shared" si="2"/>
        <v>30.999999999999968</v>
      </c>
      <c r="H8" s="14">
        <f t="shared" si="1"/>
        <v>3.6363636363636397E-2</v>
      </c>
    </row>
    <row r="9" spans="2:8" x14ac:dyDescent="0.45">
      <c r="C9" s="2">
        <v>11</v>
      </c>
      <c r="D9" s="2">
        <v>10.3</v>
      </c>
      <c r="E9" s="2">
        <v>2</v>
      </c>
      <c r="F9" s="2">
        <f t="shared" si="0"/>
        <v>0.34999999999999964</v>
      </c>
      <c r="G9" s="12">
        <f t="shared" si="2"/>
        <v>16.857142857142875</v>
      </c>
      <c r="H9" s="14">
        <f t="shared" si="1"/>
        <v>6.3636363636363574E-2</v>
      </c>
    </row>
    <row r="10" spans="2:8" x14ac:dyDescent="0.45">
      <c r="C10" s="2">
        <v>11</v>
      </c>
      <c r="D10" s="2">
        <v>11</v>
      </c>
      <c r="E10" s="2">
        <v>2</v>
      </c>
      <c r="F10" s="2">
        <f t="shared" si="0"/>
        <v>0</v>
      </c>
      <c r="G10" s="12">
        <f t="shared" si="2"/>
        <v>0</v>
      </c>
      <c r="H10" s="14">
        <f t="shared" si="1"/>
        <v>0</v>
      </c>
    </row>
    <row r="11" spans="2:8" x14ac:dyDescent="0.45">
      <c r="C11" s="2">
        <v>11</v>
      </c>
      <c r="D11" s="2">
        <v>10.8</v>
      </c>
      <c r="E11" s="2">
        <v>2</v>
      </c>
      <c r="F11" s="2">
        <f t="shared" si="0"/>
        <v>9.9999999999999645E-2</v>
      </c>
      <c r="G11" s="12">
        <f t="shared" si="2"/>
        <v>64.000000000000227</v>
      </c>
      <c r="H11" s="14">
        <f t="shared" si="1"/>
        <v>1.8181818181818118E-2</v>
      </c>
    </row>
    <row r="12" spans="2:8" x14ac:dyDescent="0.45">
      <c r="C12" s="2"/>
      <c r="D12" s="2"/>
      <c r="E12" s="2"/>
      <c r="F12" s="2">
        <f t="shared" si="0"/>
        <v>0</v>
      </c>
      <c r="G12" s="12">
        <f t="shared" si="2"/>
        <v>0</v>
      </c>
      <c r="H12" s="14">
        <f t="shared" si="1"/>
        <v>0</v>
      </c>
    </row>
    <row r="13" spans="2:8" x14ac:dyDescent="0.45">
      <c r="C13" s="2"/>
      <c r="D13" s="2"/>
      <c r="E13" s="2"/>
      <c r="F13" s="2">
        <f t="shared" si="0"/>
        <v>0</v>
      </c>
      <c r="G13" s="12">
        <f t="shared" si="2"/>
        <v>0</v>
      </c>
      <c r="H13" s="14">
        <f t="shared" si="1"/>
        <v>0</v>
      </c>
    </row>
    <row r="14" spans="2:8" x14ac:dyDescent="0.45">
      <c r="C14" s="2"/>
      <c r="D14" s="2"/>
      <c r="E14" s="2"/>
      <c r="F14" s="2">
        <f t="shared" si="0"/>
        <v>0</v>
      </c>
      <c r="G14" s="12">
        <f t="shared" si="2"/>
        <v>0</v>
      </c>
      <c r="H14" s="14">
        <f t="shared" si="1"/>
        <v>0</v>
      </c>
    </row>
    <row r="15" spans="2:8" x14ac:dyDescent="0.45">
      <c r="C15" s="2"/>
      <c r="D15" s="2"/>
      <c r="E15" s="2"/>
      <c r="F15" s="2">
        <f t="shared" si="0"/>
        <v>0</v>
      </c>
      <c r="G15" s="12">
        <f t="shared" si="2"/>
        <v>0</v>
      </c>
      <c r="H15" s="14">
        <f t="shared" si="1"/>
        <v>0</v>
      </c>
    </row>
    <row r="16" spans="2:8" x14ac:dyDescent="0.45">
      <c r="C16" s="2"/>
      <c r="D16" s="2"/>
      <c r="E16" s="2"/>
      <c r="F16" s="2">
        <f t="shared" si="0"/>
        <v>0</v>
      </c>
      <c r="G16" s="12">
        <f t="shared" si="2"/>
        <v>0</v>
      </c>
      <c r="H16" s="14">
        <f t="shared" si="1"/>
        <v>0</v>
      </c>
    </row>
    <row r="17" spans="3:8" x14ac:dyDescent="0.45">
      <c r="C17" s="2"/>
      <c r="D17" s="2"/>
      <c r="E17" s="2"/>
      <c r="F17" s="2">
        <f t="shared" si="0"/>
        <v>0</v>
      </c>
      <c r="G17" s="12">
        <f t="shared" si="2"/>
        <v>0</v>
      </c>
      <c r="H17" s="14">
        <f t="shared" si="1"/>
        <v>0</v>
      </c>
    </row>
    <row r="18" spans="3:8" x14ac:dyDescent="0.45">
      <c r="C18" s="2"/>
      <c r="D18" s="2"/>
      <c r="E18" s="2"/>
      <c r="F18" s="2">
        <f t="shared" si="0"/>
        <v>0</v>
      </c>
      <c r="G18" s="12">
        <f t="shared" si="2"/>
        <v>0</v>
      </c>
      <c r="H18" s="14">
        <f t="shared" si="1"/>
        <v>0</v>
      </c>
    </row>
    <row r="19" spans="3:8" x14ac:dyDescent="0.45">
      <c r="C19" s="2"/>
      <c r="D19" s="2"/>
      <c r="E19" s="2"/>
      <c r="F19" s="2">
        <f t="shared" si="0"/>
        <v>0</v>
      </c>
      <c r="G19" s="12">
        <f t="shared" si="2"/>
        <v>0</v>
      </c>
      <c r="H19" s="14">
        <f t="shared" si="1"/>
        <v>0</v>
      </c>
    </row>
    <row r="20" spans="3:8" x14ac:dyDescent="0.45">
      <c r="C20" s="2"/>
      <c r="D20" s="2"/>
      <c r="E20" s="2"/>
      <c r="F20" s="2">
        <f t="shared" si="0"/>
        <v>0</v>
      </c>
      <c r="G20" s="12">
        <f t="shared" si="2"/>
        <v>0</v>
      </c>
      <c r="H20" s="14">
        <f t="shared" si="1"/>
        <v>0</v>
      </c>
    </row>
    <row r="21" spans="3:8" x14ac:dyDescent="0.45">
      <c r="C21" s="2"/>
      <c r="D21" s="2"/>
      <c r="E21" s="2"/>
      <c r="F21" s="2">
        <f t="shared" si="0"/>
        <v>0</v>
      </c>
      <c r="G21" s="12">
        <f t="shared" si="2"/>
        <v>0</v>
      </c>
      <c r="H21" s="14">
        <f t="shared" si="1"/>
        <v>0</v>
      </c>
    </row>
    <row r="22" spans="3:8" x14ac:dyDescent="0.45">
      <c r="C22" s="2"/>
      <c r="D22" s="2"/>
      <c r="E22" s="2"/>
      <c r="F22" s="2">
        <f t="shared" si="0"/>
        <v>0</v>
      </c>
      <c r="G22" s="12">
        <f t="shared" si="2"/>
        <v>0</v>
      </c>
      <c r="H22" s="14">
        <f t="shared" si="1"/>
        <v>0</v>
      </c>
    </row>
    <row r="23" spans="3:8" x14ac:dyDescent="0.45">
      <c r="C23" s="2"/>
      <c r="D23" s="2"/>
      <c r="E23" s="2"/>
      <c r="F23" s="2">
        <f t="shared" si="0"/>
        <v>0</v>
      </c>
      <c r="G23" s="12">
        <f t="shared" si="2"/>
        <v>0</v>
      </c>
      <c r="H23" s="14">
        <f t="shared" si="1"/>
        <v>0</v>
      </c>
    </row>
    <row r="24" spans="3:8" x14ac:dyDescent="0.45">
      <c r="C24" s="2"/>
      <c r="D24" s="2"/>
      <c r="E24" s="2"/>
      <c r="F24" s="2">
        <f t="shared" si="0"/>
        <v>0</v>
      </c>
      <c r="G24" s="12">
        <f t="shared" si="2"/>
        <v>0</v>
      </c>
      <c r="H24" s="14">
        <f t="shared" si="1"/>
        <v>0</v>
      </c>
    </row>
    <row r="25" spans="3:8" x14ac:dyDescent="0.45">
      <c r="C25" s="2"/>
      <c r="D25" s="2"/>
      <c r="E25" s="2"/>
      <c r="F25" s="2">
        <f t="shared" si="0"/>
        <v>0</v>
      </c>
      <c r="G25" s="12">
        <f t="shared" si="2"/>
        <v>0</v>
      </c>
      <c r="H25" s="14">
        <f t="shared" si="1"/>
        <v>0</v>
      </c>
    </row>
    <row r="26" spans="3:8" x14ac:dyDescent="0.45">
      <c r="C26" s="2"/>
      <c r="D26" s="2"/>
      <c r="E26" s="2"/>
      <c r="F26" s="2">
        <f t="shared" si="0"/>
        <v>0</v>
      </c>
      <c r="G26" s="12">
        <f t="shared" si="2"/>
        <v>0</v>
      </c>
      <c r="H26" s="14">
        <f t="shared" si="1"/>
        <v>0</v>
      </c>
    </row>
    <row r="27" spans="3:8" x14ac:dyDescent="0.45">
      <c r="C27" s="2"/>
      <c r="D27" s="2"/>
      <c r="E27" s="2"/>
      <c r="F27" s="2">
        <f t="shared" si="0"/>
        <v>0</v>
      </c>
      <c r="G27" s="12">
        <f t="shared" si="2"/>
        <v>0</v>
      </c>
      <c r="H27" s="14">
        <f t="shared" si="1"/>
        <v>0</v>
      </c>
    </row>
    <row r="28" spans="3:8" x14ac:dyDescent="0.45">
      <c r="C28" s="2"/>
      <c r="D28" s="2"/>
      <c r="E28" s="2"/>
      <c r="F28" s="2">
        <f t="shared" si="0"/>
        <v>0</v>
      </c>
      <c r="G28" s="12">
        <f t="shared" si="2"/>
        <v>0</v>
      </c>
      <c r="H28" s="14">
        <f t="shared" si="1"/>
        <v>0</v>
      </c>
    </row>
    <row r="29" spans="3:8" x14ac:dyDescent="0.45">
      <c r="C29" s="2"/>
      <c r="D29" s="2"/>
      <c r="E29" s="2"/>
      <c r="F29" s="2">
        <f t="shared" si="0"/>
        <v>0</v>
      </c>
      <c r="G29" s="12">
        <f t="shared" si="2"/>
        <v>0</v>
      </c>
      <c r="H29" s="14">
        <f t="shared" si="1"/>
        <v>0</v>
      </c>
    </row>
  </sheetData>
  <phoneticPr fontId="1" type="noConversion"/>
  <conditionalFormatting sqref="G5:G1048576">
    <cfRule type="cellIs" dxfId="5" priority="2" operator="equal">
      <formula>0</formula>
    </cfRule>
    <cfRule type="cellIs" dxfId="4" priority="4" operator="lessThanOrEqual">
      <formula>3</formula>
    </cfRule>
    <cfRule type="cellIs" dxfId="3" priority="6" operator="greaterThanOrEqual">
      <formula>10</formula>
    </cfRule>
  </conditionalFormatting>
  <conditionalFormatting sqref="H5:H1048576">
    <cfRule type="cellIs" dxfId="2" priority="3" operator="greaterThanOrEqual">
      <formula>0.4</formula>
    </cfRule>
    <cfRule type="cellIs" dxfId="1" priority="5" operator="lessThan">
      <formula>5</formula>
    </cfRule>
  </conditionalFormatting>
  <conditionalFormatting sqref="H7:H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A779-6E97-4583-BDC4-2C5FDCFDD33E}">
  <dimension ref="A1"/>
  <sheetViews>
    <sheetView workbookViewId="0">
      <selection activeCell="J27" sqref="J27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보일러</vt:lpstr>
      <vt:lpstr>냉동기COP 합격여부</vt:lpstr>
      <vt:lpstr>송풍기 풍량값 합격여부</vt:lpstr>
      <vt:lpstr>펌프 유량값 합격여부</vt:lpstr>
      <vt:lpstr>송풍기 풍량값 추정</vt:lpstr>
      <vt:lpstr>펌프 유량값 추정</vt:lpstr>
      <vt:lpstr>배관수명</vt:lpstr>
      <vt:lpstr>배관경표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이소라</dc:creator>
  <cp:lastModifiedBy>Daniel Song</cp:lastModifiedBy>
  <dcterms:created xsi:type="dcterms:W3CDTF">2022-10-24T05:26:08Z</dcterms:created>
  <dcterms:modified xsi:type="dcterms:W3CDTF">2025-11-13T10:26:55Z</dcterms:modified>
</cp:coreProperties>
</file>